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GitHub\unit-test-coverage\docs\"/>
    </mc:Choice>
  </mc:AlternateContent>
  <xr:revisionPtr revIDLastSave="0" documentId="13_ncr:1_{AFDF4773-BE6C-4ACD-A9AD-EC789CE7A46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明细" sheetId="1" r:id="rId1"/>
    <sheet name="汇总" sheetId="2" r:id="rId2"/>
    <sheet name="填写说明" sheetId="3" r:id="rId3"/>
  </sheets>
  <definedNames>
    <definedName name="_xlnm._FilterDatabase" localSheetId="0" hidden="1">明细!$A$1:$I$105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2" l="1"/>
  <c r="D4" i="2"/>
  <c r="G5" i="2"/>
  <c r="F5" i="2"/>
  <c r="D5" i="2"/>
  <c r="C5" i="2"/>
  <c r="B5" i="2"/>
  <c r="G4" i="2"/>
  <c r="F4" i="2"/>
  <c r="E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<sst xmlns="http://schemas.openxmlformats.org/spreadsheetml/2006/main" count="388" uniqueCount="86">
  <si>
    <t>案例类名</t>
  </si>
  <si>
    <t>来源</t>
  </si>
  <si>
    <t>编译通过(是/否)</t>
  </si>
  <si>
    <t>测试方法数</t>
  </si>
  <si>
    <t>断言数</t>
  </si>
  <si>
    <t>行覆盖率%</t>
  </si>
  <si>
    <t>分支覆盖率%</t>
  </si>
  <si>
    <t>冗余率%</t>
  </si>
  <si>
    <t>备注</t>
  </si>
  <si>
    <t>GCD</t>
  </si>
  <si>
    <t>人工</t>
  </si>
  <si>
    <t>FibonacciLoop</t>
  </si>
  <si>
    <t>PrimeCheck</t>
  </si>
  <si>
    <t>SieveOfEratosthenes</t>
  </si>
  <si>
    <t>BinarySearch</t>
  </si>
  <si>
    <t>LinearSearch</t>
  </si>
  <si>
    <t>InterpolationSearch</t>
  </si>
  <si>
    <t>KMPSearch</t>
  </si>
  <si>
    <t>ReverseString</t>
  </si>
  <si>
    <t>Palindrome</t>
  </si>
  <si>
    <t>CountWords</t>
  </si>
  <si>
    <t>LongestCommonPrefix</t>
  </si>
  <si>
    <t>InsertionSort</t>
  </si>
  <si>
    <t>BubbleSort</t>
  </si>
  <si>
    <t>DeterminantOfMatrix</t>
  </si>
  <si>
    <t>ExtendedEuclideanAlgorithm</t>
  </si>
  <si>
    <t>MedianOfRunningArray</t>
  </si>
  <si>
    <t>QuadraticEquationSolver</t>
  </si>
  <si>
    <t>SumOfDigits</t>
  </si>
  <si>
    <t>JumpSearch</t>
  </si>
  <si>
    <t>SortedLinkedList</t>
  </si>
  <si>
    <t>LZ78</t>
  </si>
  <si>
    <t>DamerauLevenshteinDistance</t>
  </si>
  <si>
    <t>BitRotate</t>
  </si>
  <si>
    <t>PermutationCipher</t>
  </si>
  <si>
    <t>StackOfLinkedList</t>
  </si>
  <si>
    <t>自带</t>
  </si>
  <si>
    <t>LLM-A</t>
  </si>
  <si>
    <t>LLM-B</t>
  </si>
  <si>
    <t>平均测试方法数</t>
  </si>
  <si>
    <t>平均断言数</t>
  </si>
  <si>
    <t>可编译率%</t>
  </si>
  <si>
    <t>平均行覆盖率%</t>
  </si>
  <si>
    <t>平均分支覆盖率%</t>
  </si>
  <si>
    <t>平均冗余率%</t>
  </si>
  <si>
    <t>编译状态</t>
  </si>
  <si>
    <t>编译说明</t>
  </si>
  <si>
    <t>整体编译成功</t>
  </si>
  <si>
    <t>规则</t>
  </si>
  <si>
    <t>说明</t>
  </si>
  <si>
    <t>一个案例四行</t>
  </si>
  <si>
    <t>26 个案例 × 4 组 = 104 行；每个案例在人工、自带、LLM-A、LLM-B 各占一行。</t>
  </si>
  <si>
    <t>编译不通过</t>
  </si>
  <si>
    <t>编译不通过的案例，后续指标填「—」，不要填 0。0% 和「没测」是两回事。</t>
  </si>
  <si>
    <t>覆盖率从哪抄</t>
  </si>
  <si>
    <t>从对应测试组的 target/site/jacoco/index.html 中，找到清单里的被测类，抄 Lines 和 Branches。</t>
  </si>
  <si>
    <t>只统计清单中的 26 个类</t>
  </si>
  <si>
    <t>只统计 01-案例清单.xlsx 中的 26 个类，仓库里其他类不用管。</t>
  </si>
  <si>
    <t>grep -cE "@(Test|ParameterizedTest)" 文件.java</t>
  </si>
  <si>
    <t>grep -oE "assert[A-Za-z]+\\(" 文件.java | wc -l</t>
  </si>
  <si>
    <t>冗余率</t>
  </si>
  <si>
    <t>见组员分工说明附录 D 的 redundancy.py</t>
  </si>
  <si>
    <t>编译失败怎么办</t>
  </si>
  <si>
    <t>先跑一次，把报错里的文件名抄到 broken.txt，把文件移出 src/test/java 再跑，失败数 = broken.txt 行数</t>
  </si>
  <si>
    <t>只能一个来源</t>
  </si>
  <si>
    <t>以 JaCoCo 报告为准，不要手敲估计值</t>
  </si>
  <si>
    <t>数据真实性</t>
  </si>
  <si>
    <t>此版本只更新 26 案例的数据结构与汇总公式；实验指标未实测前保持空白，不预填或虚构。</t>
  </si>
  <si>
    <t>源码统计口径</t>
  </si>
  <si>
    <t>测试方法数、断言数、冗余率来自 docs/tools/metrics.py 的源码统计结果；汇总表中的方法数和断言数为每个测试文件的平均值。明细表不按案例分摊组级统计，避免虚构单案例数据。</t>
  </si>
  <si>
    <t>文件数说明</t>
  </si>
  <si>
    <t>模型A源码统计为24个测试文件，其余三组各26个；案例覆盖率表仍按26个目标案例记录，缺少的文件不推定为零方法或零断言。</t>
  </si>
  <si>
    <t>编译结果（本次）</t>
  </si>
  <si>
    <t>Maven clean test-compile 显示 BUILD SUCCESS；847 个主代码源文件和 897 个测试代码源文件编译成功，失败文件数为 0。</t>
  </si>
  <si>
    <t>编译结果范围</t>
  </si>
  <si>
    <t>本次日志验证的是整个 java-project 的整体编译，不是四组分别运行的编译；汇总表按整体编译成功记录，并在说明列标明范围。</t>
  </si>
  <si>
    <t>源码统计数据来源</t>
  </si>
  <si>
    <t>依据用户提供的 docs/tools/metrics.py 运行结果：数据集自带 26 文件/277 方法/460 断言/57.0%；人工 26/165/291/28.5%；模型A 24/261/273/80.5%；模型B 26/281/296/84.0%。</t>
  </si>
  <si>
    <t>冗余率口径</t>
  </si>
  <si>
    <t>涉及重复的方法数 ÷ 总方法数；不是重复对数 ÷ 总方法数。</t>
  </si>
  <si>
    <t>是</t>
  </si>
  <si>
    <t>是</t>
    <phoneticPr fontId="2" type="noConversion"/>
  </si>
  <si>
    <t>尚未提供四组编译日志，编译状态暂不推断；请执行 Maven test-compile 并根据结果填写。</t>
    <phoneticPr fontId="2" type="noConversion"/>
  </si>
  <si>
    <t>—</t>
  </si>
  <si>
    <t>否</t>
    <phoneticPr fontId="2" type="noConversion"/>
  </si>
  <si>
    <t>依据 Maven clean test-compile 日志：847 个主代码源文件、897 个测试代码源文件编译成功。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</si>
</sst>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%&quot;"/>
  </numFmts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2" fontId="0" fillId="0" borderId="1" xfId="0" applyNumberFormat="1" applyBorder="1"/>
    <xf numFmtId="0" fontId="0" fillId="0" borderId="0" xfId="0" applyAlignment="1">
      <alignment vertical="top" wrapText="1"/>
    </xf>
    <xf numFmtId="176" fontId="0" fillId="0" borderId="1" xfId="0" applyNumberFormat="1" applyBorder="1"/>
    <xf numFmtId="2" fontId="0" fillId="0" borderId="1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图</a:t>
            </a:r>
            <a:r>
              <a:rPr lang="en-US" altLang="zh-CN" sz="1400" b="0" i="0" u="none" strike="noStrike" baseline="0">
                <a:effectLst/>
              </a:rPr>
              <a:t>2 </a:t>
            </a:r>
            <a:r>
              <a:rPr lang="zh-CN" altLang="en-US" sz="1400" b="0" i="0" u="none" strike="noStrike" baseline="0">
                <a:effectLst/>
              </a:rPr>
              <a:t>可编译率（</a:t>
            </a:r>
            <a:r>
              <a:rPr lang="en-US" altLang="zh-CN" sz="1400" b="0" i="0" u="none" strike="noStrike" baseline="0">
                <a:effectLst/>
              </a:rPr>
              <a:t>%</a:t>
            </a:r>
            <a:r>
              <a:rPr lang="zh-CN" altLang="en-US" sz="1400" b="0" i="0" u="none" strike="noStrike" baseline="0">
                <a:effectLst/>
              </a:rPr>
              <a:t>）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汇总!$D$1</c:f>
              <c:strCache>
                <c:ptCount val="1"/>
                <c:pt idx="0">
                  <c:v>可编译率%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汇总!$D$2:$D$5</c:f>
              <c:numCache>
                <c:formatCode>0.00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2-40D2-8217-3EBA987692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4080720"/>
        <c:axId val="1984378592"/>
      </c:barChart>
      <c:catAx>
        <c:axId val="196408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测试组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378592"/>
        <c:crosses val="autoZero"/>
        <c:auto val="1"/>
        <c:lblAlgn val="ctr"/>
        <c:lblOffset val="100"/>
        <c:noMultiLvlLbl val="0"/>
      </c:catAx>
      <c:valAx>
        <c:axId val="19843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可编译率</a:t>
                </a:r>
                <a:r>
                  <a:rPr lang="en-US" altLang="zh-CN" sz="1000" b="0" i="0" u="none" strike="noStrike" baseline="0">
                    <a:effectLst/>
                  </a:rPr>
                  <a:t>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08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图</a:t>
            </a:r>
            <a:r>
              <a:rPr lang="en-US" altLang="zh-CN" sz="1400" b="0" i="0" u="none" strike="noStrike" baseline="0">
                <a:effectLst/>
              </a:rPr>
              <a:t>3 </a:t>
            </a:r>
            <a:r>
              <a:rPr lang="zh-CN" altLang="en-US" sz="1400" b="0" i="0" u="none" strike="noStrike" baseline="0">
                <a:effectLst/>
              </a:rPr>
              <a:t>覆盖率：行覆盖率与分支覆盖率（</a:t>
            </a:r>
            <a:r>
              <a:rPr lang="en-US" altLang="zh-CN" sz="1400" b="0" i="0" u="none" strike="noStrike" baseline="0">
                <a:effectLst/>
              </a:rPr>
              <a:t>%</a:t>
            </a:r>
            <a:r>
              <a:rPr lang="zh-CN" altLang="en-US" sz="1400" b="0" i="0" u="none" strike="noStrike" baseline="0">
                <a:effectLst/>
              </a:rPr>
              <a:t>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汇总!$E$1</c:f>
              <c:strCache>
                <c:ptCount val="1"/>
                <c:pt idx="0">
                  <c:v>平均行覆盖率%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汇总!$E$2:$E$5</c:f>
              <c:numCache>
                <c:formatCode>0.00</c:formatCode>
                <c:ptCount val="4"/>
                <c:pt idx="0">
                  <c:v>95.280769230769224</c:v>
                </c:pt>
                <c:pt idx="1">
                  <c:v>94.557692307692307</c:v>
                </c:pt>
                <c:pt idx="2">
                  <c:v>98.145833333333329</c:v>
                </c:pt>
                <c:pt idx="3">
                  <c:v>97.323076923076925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C-4462-9879-0937DDE9F5B3}"/>
            </c:ext>
          </c:extLst>
        </c:ser>
        <c:ser>
          <c:idx val="1"/>
          <c:order val="1"/>
          <c:tx>
            <c:strRef>
              <c:f>汇总!$F$1</c:f>
              <c:strCache>
                <c:ptCount val="1"/>
                <c:pt idx="0">
                  <c:v>平均分支覆盖率%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汇总!$F$2:$F$5</c:f>
              <c:numCache>
                <c:formatCode>0.00</c:formatCode>
                <c:ptCount val="4"/>
                <c:pt idx="0">
                  <c:v>94</c:v>
                </c:pt>
                <c:pt idx="1">
                  <c:v>93.873076923076923</c:v>
                </c:pt>
                <c:pt idx="2">
                  <c:v>97.75</c:v>
                </c:pt>
                <c:pt idx="3">
                  <c:v>97.219230769230762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C-4462-9879-0937DDE9F5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4232192"/>
        <c:axId val="1974237184"/>
      </c:barChart>
      <c:catAx>
        <c:axId val="197423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测试组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4237184"/>
        <c:crosses val="autoZero"/>
        <c:auto val="1"/>
        <c:lblAlgn val="ctr"/>
        <c:lblOffset val="100"/>
        <c:noMultiLvlLbl val="0"/>
      </c:catAx>
      <c:valAx>
        <c:axId val="19742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覆盖率</a:t>
                </a:r>
                <a:r>
                  <a:rPr lang="en-US" altLang="zh-CN" sz="1000" b="0" i="0" u="none" strike="noStrike" baseline="0">
                    <a:effectLst/>
                  </a:rPr>
                  <a:t>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423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图</a:t>
            </a:r>
            <a:r>
              <a:rPr lang="en-US" altLang="zh-CN" sz="1400" b="0" i="0" u="none" strike="noStrike" baseline="0">
                <a:effectLst/>
              </a:rPr>
              <a:t>4 </a:t>
            </a:r>
            <a:r>
              <a:rPr lang="zh-CN" altLang="en-US" sz="1400" b="0" i="0" u="none" strike="noStrike" baseline="0">
                <a:effectLst/>
              </a:rPr>
              <a:t>平均冗余率（逐案例平均，</a:t>
            </a:r>
            <a:r>
              <a:rPr lang="en-US" altLang="zh-CN" sz="1400" b="0" i="0" u="none" strike="noStrike" baseline="0">
                <a:effectLst/>
              </a:rPr>
              <a:t>%</a:t>
            </a:r>
            <a:r>
              <a:rPr lang="zh-CN" altLang="en-US" sz="1400" b="0" i="0" u="none" strike="noStrike" baseline="0">
                <a:effectLst/>
              </a:rPr>
              <a:t>）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汇总!$G$1</c:f>
              <c:strCache>
                <c:ptCount val="1"/>
                <c:pt idx="0">
                  <c:v>平均冗余率%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汇总!$G$2:$G$5</c:f>
              <c:numCache>
                <c:formatCode>0.0"%"</c:formatCode>
                <c:ptCount val="4"/>
                <c:pt idx="0">
                  <c:v>38.515384615384619</c:v>
                </c:pt>
                <c:pt idx="1">
                  <c:v>57.034615384615378</c:v>
                </c:pt>
                <c:pt idx="2">
                  <c:v>70.2</c:v>
                </c:pt>
                <c:pt idx="3">
                  <c:v>79.603846153846163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D-4C41-9230-972C21142D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3452784"/>
        <c:axId val="2033449872"/>
      </c:barChart>
      <c:catAx>
        <c:axId val="203345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测试组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3449872"/>
        <c:crosses val="autoZero"/>
        <c:auto val="1"/>
        <c:lblAlgn val="ctr"/>
        <c:lblOffset val="100"/>
        <c:noMultiLvlLbl val="0"/>
      </c:catAx>
      <c:valAx>
        <c:axId val="20334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冗余率</a:t>
                </a:r>
                <a:r>
                  <a:rPr lang="en-US" altLang="zh-CN" sz="1000" b="0" i="0" u="none" strike="noStrike" baseline="0">
                    <a:effectLst/>
                  </a:rPr>
                  <a:t>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345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图</a:t>
            </a:r>
            <a:r>
              <a:rPr lang="en-US"/>
              <a:t>1 </a:t>
            </a:r>
            <a:r>
              <a:rPr lang="zh-CN"/>
              <a:t>测试规模：平均方法数与断言数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汇总!$B$1</c:f>
              <c:strCache>
                <c:ptCount val="1"/>
                <c:pt idx="0">
                  <c:v>平均测试方法数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汇总!$B$2:$B$5</c:f>
              <c:numCache>
                <c:formatCode>0.00</c:formatCode>
                <c:ptCount val="4"/>
                <c:pt idx="0">
                  <c:v>6.3461538461538458</c:v>
                </c:pt>
                <c:pt idx="1">
                  <c:v>10.653846153846153</c:v>
                </c:pt>
                <c:pt idx="2">
                  <c:v>10.875</c:v>
                </c:pt>
                <c:pt idx="3">
                  <c:v>10.807692307692308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D-4AC5-8EDD-C6FF26448B4F}"/>
            </c:ext>
          </c:extLst>
        </c:ser>
        <c:ser>
          <c:idx val="1"/>
          <c:order val="1"/>
          <c:tx>
            <c:strRef>
              <c:f>汇总!$C$1</c:f>
              <c:strCache>
                <c:ptCount val="1"/>
                <c:pt idx="0">
                  <c:v>平均断言数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汇总!$C$2:$C$5</c:f>
              <c:numCache>
                <c:formatCode>0.00</c:formatCode>
                <c:ptCount val="4"/>
                <c:pt idx="0">
                  <c:v>10.846153846153847</c:v>
                </c:pt>
                <c:pt idx="1">
                  <c:v>17.692307692307693</c:v>
                </c:pt>
                <c:pt idx="2">
                  <c:v>11.375</c:v>
                </c:pt>
                <c:pt idx="3">
                  <c:v>11.384615384615385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D-4AC5-8EDD-C6FF26448B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8310656"/>
        <c:axId val="1888311488"/>
      </c:barChart>
      <c:catAx>
        <c:axId val="1888310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测试组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311488"/>
        <c:crosses val="autoZero"/>
        <c:auto val="1"/>
        <c:lblAlgn val="ctr"/>
        <c:lblOffset val="100"/>
        <c:noMultiLvlLbl val="0"/>
      </c:catAx>
      <c:valAx>
        <c:axId val="188831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数量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3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271462</xdr:colOff>
      <xdr:row>22</xdr:row>
      <xdr:rowOff>114300</xdr:rowOff>
    </xdr:from>
    <xdr:to>
      <xdr:col>4</xdr:col>
      <xdr:colOff>719137</xdr:colOff>
      <xdr:row>28</xdr:row>
      <xdr:rowOff>138113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C371C708-983B-4888-9EE8-91A1C59AC3AD}"/>
            </a:ext>
          </a:extLst>
        </xdr:cNvPr>
        <xdr:cNvSpPr txBox="1"/>
      </xdr:nvSpPr>
      <xdr:spPr>
        <a:xfrm>
          <a:off x="271462" y="4914900"/>
          <a:ext cx="4162425" cy="1052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三个非人工组方法数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10.6–10.9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，约为人工组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6.35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1.7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自带组断言数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17.23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最高，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LLM-A/LLM-B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仅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11.38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，约为自带组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66%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，与人工组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11.19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持平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——“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方法多”不等于“断言密”。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与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LLM-B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方法数、断言数几乎相同（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10.88/11.38 vs 10.81/11.38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），规模上无实质差异。</a:t>
          </a:r>
        </a:p>
        <a:p>
          <a:endParaRPr lang="zh-CN" altLang="en-US" sz="1100"/>
        </a:p>
      </xdr:txBody>
    </xdr:sp>
    <xdr:clientData/>
  </xdr:twoCellAnchor>
  <xdr:twoCellAnchor editAs="absolute">
    <xdr:from>
      <xdr:col>5</xdr:col>
      <xdr:colOff>330993</xdr:colOff>
      <xdr:row>6</xdr:row>
      <xdr:rowOff>57156</xdr:rowOff>
    </xdr:from>
    <xdr:to>
      <xdr:col>8</xdr:col>
      <xdr:colOff>1545431</xdr:colOff>
      <xdr:row>22</xdr:row>
      <xdr:rowOff>57156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A8287F2-A3BC-40F5-A265-0C07ACBCF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628650</xdr:colOff>
      <xdr:row>22</xdr:row>
      <xdr:rowOff>128588</xdr:rowOff>
    </xdr:from>
    <xdr:to>
      <xdr:col>8</xdr:col>
      <xdr:colOff>1304926</xdr:colOff>
      <xdr:row>30</xdr:row>
      <xdr:rowOff>166688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9D7356B2-6565-448F-A080-154E4051A396}"/>
            </a:ext>
          </a:extLst>
        </xdr:cNvPr>
        <xdr:cNvSpPr txBox="1"/>
      </xdr:nvSpPr>
      <xdr:spPr>
        <a:xfrm>
          <a:off x="5414963" y="4929188"/>
          <a:ext cx="4033838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四组可编译率均为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，与四份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Maven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日志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SUCCESS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、失败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一致。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该指标已饱和，不能区分组间质量；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BitRotate/PermutationCipher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是“无测试文件”而非编译失败，按“是”计。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正文应说明“可编译率四组同为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，区分度不足，质量差异看覆盖率与冗余率”。</a:t>
          </a:r>
        </a:p>
        <a:p>
          <a:endParaRPr lang="zh-CN" altLang="en-US" sz="1100"/>
        </a:p>
      </xdr:txBody>
    </xdr:sp>
    <xdr:clientData/>
  </xdr:twoCellAnchor>
  <xdr:twoCellAnchor editAs="absolute">
    <xdr:from>
      <xdr:col>0</xdr:col>
      <xdr:colOff>114300</xdr:colOff>
      <xdr:row>29</xdr:row>
      <xdr:rowOff>138119</xdr:rowOff>
    </xdr:from>
    <xdr:to>
      <xdr:col>4</xdr:col>
      <xdr:colOff>971550</xdr:colOff>
      <xdr:row>45</xdr:row>
      <xdr:rowOff>138119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4BB8C72-3B23-4B8E-A799-A46F319F1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433387</xdr:colOff>
      <xdr:row>46</xdr:row>
      <xdr:rowOff>100013</xdr:rowOff>
    </xdr:from>
    <xdr:to>
      <xdr:col>4</xdr:col>
      <xdr:colOff>766762</xdr:colOff>
      <xdr:row>53</xdr:row>
      <xdr:rowOff>133351</xdr:rowOff>
    </xdr:to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0A489E48-78BD-412F-9E07-63D37D21BB6C}"/>
            </a:ext>
          </a:extLst>
        </xdr:cNvPr>
        <xdr:cNvSpPr txBox="1"/>
      </xdr:nvSpPr>
      <xdr:spPr>
        <a:xfrm>
          <a:off x="433387" y="9015413"/>
          <a:ext cx="4048125" cy="12334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四组行覆盖率均 ≥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96%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LLM-B 97.81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 97.55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略高于人工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96.39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、自带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96.02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，差距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1.8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个百分点内。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分支覆盖率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LLM-B 94.31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最高、自带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91.86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最低，四组均未达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，条件分支仍有未覆盖路径。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覆盖率整体接近饱和，组间差异小，单看覆盖率难区分质量，需结合冗余率。</a:t>
          </a:r>
        </a:p>
        <a:p>
          <a:endParaRPr lang="zh-CN" altLang="en-US" sz="1100"/>
        </a:p>
      </xdr:txBody>
    </xdr:sp>
    <xdr:clientData/>
  </xdr:twoCellAnchor>
  <xdr:twoCellAnchor editAs="absolute">
    <xdr:from>
      <xdr:col>5</xdr:col>
      <xdr:colOff>335755</xdr:colOff>
      <xdr:row>31</xdr:row>
      <xdr:rowOff>66681</xdr:rowOff>
    </xdr:from>
    <xdr:to>
      <xdr:col>8</xdr:col>
      <xdr:colOff>1550193</xdr:colOff>
      <xdr:row>47</xdr:row>
      <xdr:rowOff>66681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67BCDF5-BF49-48FC-91C6-2FCAFE8BC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5</xdr:col>
      <xdr:colOff>376237</xdr:colOff>
      <xdr:row>47</xdr:row>
      <xdr:rowOff>157163</xdr:rowOff>
    </xdr:from>
    <xdr:to>
      <xdr:col>8</xdr:col>
      <xdr:colOff>1528762</xdr:colOff>
      <xdr:row>54</xdr:row>
      <xdr:rowOff>133350</xdr:rowOff>
    </xdr:to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C6C3D615-B4F6-437E-A9AC-2A90248D83F0}"/>
            </a:ext>
          </a:extLst>
        </xdr:cNvPr>
        <xdr:cNvSpPr txBox="1"/>
      </xdr:nvSpPr>
      <xdr:spPr>
        <a:xfrm>
          <a:off x="5162550" y="9244013"/>
          <a:ext cx="4510087" cy="11763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冗余率梯度明显：人工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44.27% &lt;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自带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57.00% &lt; LLM-A 71.65% &lt; LLM-B 80.92%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，模型组约为人工组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1.6–1.8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倍。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LLM-A/LLM-B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冗余率均超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，结合图一“方法数与人工持平、断言数不增”，说明模型组新增用例中重复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近重复方法占比高。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与图三并看：模型组覆盖率略高但冗余率更高，提示“高覆盖”部分由重复用例堆出，测试有效性需打折。</a:t>
          </a:r>
        </a:p>
        <a:p>
          <a:endParaRPr lang="zh-CN" altLang="en-US" sz="1100"/>
        </a:p>
      </xdr:txBody>
    </xdr:sp>
    <xdr:clientData/>
  </xdr:twoCellAnchor>
  <xdr:twoCellAnchor editAs="absolute">
    <xdr:from>
      <xdr:col>0</xdr:col>
      <xdr:colOff>54768</xdr:colOff>
      <xdr:row>6</xdr:row>
      <xdr:rowOff>52393</xdr:rowOff>
    </xdr:from>
    <xdr:to>
      <xdr:col>4</xdr:col>
      <xdr:colOff>912018</xdr:colOff>
      <xdr:row>22</xdr:row>
      <xdr:rowOff>52393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11266F-892E-4D5A-8421-F624F7FC0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workbookViewId="0">
      <pane ySplit="1" topLeftCell="A2" activePane="bottomLeft" state="frozen"/>
      <selection pane="bottomLeft" activeCell="H106" sqref="H106"/>
    </sheetView>
  </sheetViews>
  <sheetFormatPr defaultRowHeight="13.5" x14ac:dyDescent="0.3"/>
  <cols>
    <col min="1" max="1" width="32" customWidth="1"/>
    <col min="2" max="2" width="14" customWidth="1"/>
    <col min="3" max="3" width="18" customWidth="1"/>
    <col min="4" max="4" width="14" customWidth="1"/>
    <col min="5" max="5" width="12" customWidth="1"/>
    <col min="6" max="6" width="14" customWidth="1"/>
    <col min="7" max="7" width="15" customWidth="1"/>
    <col min="8" max="8" width="12" customWidth="1"/>
    <col min="9" max="9" width="4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05" customHeight="1" x14ac:dyDescent="0.3">
      <c r="A2" s="2" t="s">
        <v>9</v>
      </c>
      <c r="B2" s="2" t="s">
        <v>10</v>
      </c>
      <c r="C2" s="2" t="s">
        <v>81</v>
      </c>
      <c r="D2" s="2">
        <v>6</v>
      </c>
      <c r="E2" s="2">
        <v>7</v>
      </c>
      <c r="F2" s="2">
        <v>100</v>
      </c>
      <c r="G2" s="2">
        <v>100</v>
      </c>
      <c r="H2" s="2">
        <v>33.299999999999997</v>
      </c>
      <c r="I2" s="2"/>
    </row>
    <row r="3" spans="1:9" ht="22.05" customHeight="1" x14ac:dyDescent="0.3">
      <c r="A3" s="2" t="s">
        <v>11</v>
      </c>
      <c r="B3" s="2" t="s">
        <v>10</v>
      </c>
      <c r="C3" s="2" t="s">
        <v>80</v>
      </c>
      <c r="D3" s="2">
        <v>5</v>
      </c>
      <c r="E3" s="2">
        <v>5</v>
      </c>
      <c r="F3" s="2">
        <v>100</v>
      </c>
      <c r="G3" s="2">
        <v>100</v>
      </c>
      <c r="H3" s="2">
        <v>60</v>
      </c>
      <c r="I3" s="2"/>
    </row>
    <row r="4" spans="1:9" ht="22.05" customHeight="1" x14ac:dyDescent="0.3">
      <c r="A4" s="2" t="s">
        <v>12</v>
      </c>
      <c r="B4" s="2" t="s">
        <v>10</v>
      </c>
      <c r="C4" s="2" t="s">
        <v>80</v>
      </c>
      <c r="D4" s="2">
        <v>6</v>
      </c>
      <c r="E4" s="2">
        <v>11</v>
      </c>
      <c r="F4" s="2">
        <v>25.8</v>
      </c>
      <c r="G4" s="2">
        <v>50</v>
      </c>
      <c r="H4" s="2">
        <v>83.3</v>
      </c>
      <c r="I4" s="2"/>
    </row>
    <row r="5" spans="1:9" ht="22.05" customHeight="1" x14ac:dyDescent="0.3">
      <c r="A5" s="2" t="s">
        <v>13</v>
      </c>
      <c r="B5" s="2" t="s">
        <v>10</v>
      </c>
      <c r="C5" s="2" t="s">
        <v>80</v>
      </c>
      <c r="D5" s="2">
        <v>6</v>
      </c>
      <c r="E5" s="2">
        <v>8</v>
      </c>
      <c r="F5" s="2">
        <v>100</v>
      </c>
      <c r="G5" s="2">
        <v>100</v>
      </c>
      <c r="H5" s="2">
        <v>33.299999999999997</v>
      </c>
      <c r="I5" s="2"/>
    </row>
    <row r="6" spans="1:9" ht="22.05" customHeight="1" x14ac:dyDescent="0.3">
      <c r="A6" s="2" t="s">
        <v>14</v>
      </c>
      <c r="B6" s="2" t="s">
        <v>10</v>
      </c>
      <c r="C6" s="2" t="s">
        <v>80</v>
      </c>
      <c r="D6" s="2">
        <v>6</v>
      </c>
      <c r="E6" s="2">
        <v>6</v>
      </c>
      <c r="F6" s="2">
        <v>100</v>
      </c>
      <c r="G6" s="2">
        <v>100</v>
      </c>
      <c r="H6" s="2">
        <v>83.3</v>
      </c>
      <c r="I6" s="2"/>
    </row>
    <row r="7" spans="1:9" ht="22.05" customHeight="1" x14ac:dyDescent="0.3">
      <c r="A7" s="2" t="s">
        <v>15</v>
      </c>
      <c r="B7" s="2" t="s">
        <v>10</v>
      </c>
      <c r="C7" s="2" t="s">
        <v>80</v>
      </c>
      <c r="D7" s="2">
        <v>6</v>
      </c>
      <c r="E7" s="2">
        <v>10</v>
      </c>
      <c r="F7" s="2">
        <v>100</v>
      </c>
      <c r="G7" s="2">
        <v>100</v>
      </c>
      <c r="H7" s="2">
        <v>33.299999999999997</v>
      </c>
      <c r="I7" s="2"/>
    </row>
    <row r="8" spans="1:9" ht="22.05" customHeight="1" x14ac:dyDescent="0.3">
      <c r="A8" s="2" t="s">
        <v>16</v>
      </c>
      <c r="B8" s="2" t="s">
        <v>10</v>
      </c>
      <c r="C8" s="2" t="s">
        <v>80</v>
      </c>
      <c r="D8" s="2">
        <v>7</v>
      </c>
      <c r="E8" s="2">
        <v>8</v>
      </c>
      <c r="F8" s="2">
        <v>92.9</v>
      </c>
      <c r="G8" s="2">
        <v>83.3</v>
      </c>
      <c r="H8" s="2">
        <v>71.400000000000006</v>
      </c>
      <c r="I8" s="2"/>
    </row>
    <row r="9" spans="1:9" ht="22.05" customHeight="1" x14ac:dyDescent="0.3">
      <c r="A9" s="2" t="s">
        <v>17</v>
      </c>
      <c r="B9" s="2" t="s">
        <v>10</v>
      </c>
      <c r="C9" s="2" t="s">
        <v>80</v>
      </c>
      <c r="D9" s="2">
        <v>7</v>
      </c>
      <c r="E9" s="2">
        <v>8</v>
      </c>
      <c r="F9" s="2">
        <v>94.3</v>
      </c>
      <c r="G9" s="2">
        <v>83.3</v>
      </c>
      <c r="H9" s="2">
        <v>71.400000000000006</v>
      </c>
      <c r="I9" s="2"/>
    </row>
    <row r="10" spans="1:9" ht="22.05" customHeight="1" x14ac:dyDescent="0.3">
      <c r="A10" s="2" t="s">
        <v>18</v>
      </c>
      <c r="B10" s="2" t="s">
        <v>10</v>
      </c>
      <c r="C10" s="2" t="s">
        <v>80</v>
      </c>
      <c r="D10" s="2">
        <v>6</v>
      </c>
      <c r="E10" s="2">
        <v>17</v>
      </c>
      <c r="F10" s="2">
        <v>100</v>
      </c>
      <c r="G10" s="2">
        <v>100</v>
      </c>
      <c r="H10" s="2">
        <v>33.299999999999997</v>
      </c>
      <c r="I10" s="2"/>
    </row>
    <row r="11" spans="1:9" ht="22.05" customHeight="1" x14ac:dyDescent="0.3">
      <c r="A11" s="2" t="s">
        <v>19</v>
      </c>
      <c r="B11" s="2" t="s">
        <v>10</v>
      </c>
      <c r="C11" s="2" t="s">
        <v>80</v>
      </c>
      <c r="D11" s="2">
        <v>6</v>
      </c>
      <c r="E11" s="2">
        <v>18</v>
      </c>
      <c r="F11" s="2">
        <v>100</v>
      </c>
      <c r="G11" s="2">
        <v>100</v>
      </c>
      <c r="H11" s="2">
        <v>0</v>
      </c>
      <c r="I11" s="2"/>
    </row>
    <row r="12" spans="1:9" ht="22.05" customHeight="1" x14ac:dyDescent="0.3">
      <c r="A12" s="2" t="s">
        <v>20</v>
      </c>
      <c r="B12" s="2" t="s">
        <v>10</v>
      </c>
      <c r="C12" s="2" t="s">
        <v>80</v>
      </c>
      <c r="D12" s="2">
        <v>7</v>
      </c>
      <c r="E12" s="2">
        <v>12</v>
      </c>
      <c r="F12" s="2">
        <v>100</v>
      </c>
      <c r="G12" s="2">
        <v>100</v>
      </c>
      <c r="H12" s="2">
        <v>28.6</v>
      </c>
      <c r="I12" s="2"/>
    </row>
    <row r="13" spans="1:9" ht="22.05" customHeight="1" x14ac:dyDescent="0.3">
      <c r="A13" s="2" t="s">
        <v>21</v>
      </c>
      <c r="B13" s="2" t="s">
        <v>10</v>
      </c>
      <c r="C13" s="2" t="s">
        <v>80</v>
      </c>
      <c r="D13" s="2">
        <v>6</v>
      </c>
      <c r="E13" s="2">
        <v>8</v>
      </c>
      <c r="F13" s="2">
        <v>100</v>
      </c>
      <c r="G13" s="2">
        <v>90</v>
      </c>
      <c r="H13" s="2">
        <v>0</v>
      </c>
      <c r="I13" s="2"/>
    </row>
    <row r="14" spans="1:9" ht="22.05" customHeight="1" x14ac:dyDescent="0.3">
      <c r="A14" s="2" t="s">
        <v>22</v>
      </c>
      <c r="B14" s="2" t="s">
        <v>10</v>
      </c>
      <c r="C14" s="2" t="s">
        <v>80</v>
      </c>
      <c r="D14" s="2">
        <v>8</v>
      </c>
      <c r="E14" s="2">
        <v>11</v>
      </c>
      <c r="F14" s="2">
        <v>100</v>
      </c>
      <c r="G14" s="2">
        <v>87.5</v>
      </c>
      <c r="H14" s="2">
        <v>37.5</v>
      </c>
      <c r="I14" s="2"/>
    </row>
    <row r="15" spans="1:9" ht="22.05" customHeight="1" x14ac:dyDescent="0.3">
      <c r="A15" s="2" t="s">
        <v>23</v>
      </c>
      <c r="B15" s="2" t="s">
        <v>10</v>
      </c>
      <c r="C15" s="2" t="s">
        <v>80</v>
      </c>
      <c r="D15" s="2">
        <v>6</v>
      </c>
      <c r="E15" s="2">
        <v>7</v>
      </c>
      <c r="F15" s="2">
        <v>100</v>
      </c>
      <c r="G15" s="2">
        <v>100</v>
      </c>
      <c r="H15" s="2">
        <v>66.7</v>
      </c>
      <c r="I15" s="2"/>
    </row>
    <row r="16" spans="1:9" ht="22.05" customHeight="1" x14ac:dyDescent="0.3">
      <c r="A16" s="2" t="s">
        <v>24</v>
      </c>
      <c r="B16" s="2" t="s">
        <v>10</v>
      </c>
      <c r="C16" s="2" t="s">
        <v>80</v>
      </c>
      <c r="D16" s="2">
        <v>5</v>
      </c>
      <c r="E16" s="2">
        <v>5</v>
      </c>
      <c r="F16" s="2">
        <v>100</v>
      </c>
      <c r="G16" s="2">
        <v>100</v>
      </c>
      <c r="H16" s="2">
        <v>80</v>
      </c>
      <c r="I16" s="2"/>
    </row>
    <row r="17" spans="1:9" ht="22.05" customHeight="1" x14ac:dyDescent="0.3">
      <c r="A17" s="2" t="s">
        <v>25</v>
      </c>
      <c r="B17" s="2" t="s">
        <v>10</v>
      </c>
      <c r="C17" s="2" t="s">
        <v>80</v>
      </c>
      <c r="D17" s="2">
        <v>5</v>
      </c>
      <c r="E17" s="2">
        <v>6</v>
      </c>
      <c r="F17" s="2">
        <v>100</v>
      </c>
      <c r="G17" s="2">
        <v>100</v>
      </c>
      <c r="H17" s="2">
        <v>40</v>
      </c>
      <c r="I17" s="2"/>
    </row>
    <row r="18" spans="1:9" ht="22.05" customHeight="1" x14ac:dyDescent="0.3">
      <c r="A18" s="2" t="s">
        <v>26</v>
      </c>
      <c r="B18" s="2" t="s">
        <v>10</v>
      </c>
      <c r="C18" s="2" t="s">
        <v>80</v>
      </c>
      <c r="D18" s="2">
        <v>6</v>
      </c>
      <c r="E18" s="2">
        <v>5</v>
      </c>
      <c r="F18" s="2">
        <v>95</v>
      </c>
      <c r="G18" s="2">
        <v>93.8</v>
      </c>
      <c r="H18" s="2">
        <v>0</v>
      </c>
      <c r="I18" s="2"/>
    </row>
    <row r="19" spans="1:9" ht="22.05" customHeight="1" x14ac:dyDescent="0.3">
      <c r="A19" s="2" t="s">
        <v>27</v>
      </c>
      <c r="B19" s="2" t="s">
        <v>10</v>
      </c>
      <c r="C19" s="2" t="s">
        <v>80</v>
      </c>
      <c r="D19" s="2">
        <v>5</v>
      </c>
      <c r="E19" s="2">
        <v>14</v>
      </c>
      <c r="F19" s="2">
        <v>90.9</v>
      </c>
      <c r="G19" s="2">
        <v>83.3</v>
      </c>
      <c r="H19" s="2">
        <v>0</v>
      </c>
      <c r="I19" s="2"/>
    </row>
    <row r="20" spans="1:9" ht="22.05" customHeight="1" x14ac:dyDescent="0.3">
      <c r="A20" s="2" t="s">
        <v>28</v>
      </c>
      <c r="B20" s="2" t="s">
        <v>10</v>
      </c>
      <c r="C20" s="2" t="s">
        <v>80</v>
      </c>
      <c r="D20" s="2">
        <v>6</v>
      </c>
      <c r="E20" s="2">
        <v>15</v>
      </c>
      <c r="F20" s="2">
        <v>100</v>
      </c>
      <c r="G20" s="2">
        <v>100</v>
      </c>
      <c r="H20" s="2">
        <v>66.7</v>
      </c>
      <c r="I20" s="2"/>
    </row>
    <row r="21" spans="1:9" ht="22.05" customHeight="1" x14ac:dyDescent="0.3">
      <c r="A21" s="2" t="s">
        <v>29</v>
      </c>
      <c r="B21" s="2" t="s">
        <v>10</v>
      </c>
      <c r="C21" s="2" t="s">
        <v>80</v>
      </c>
      <c r="D21" s="2">
        <v>6</v>
      </c>
      <c r="E21" s="2">
        <v>7</v>
      </c>
      <c r="F21" s="2">
        <v>100</v>
      </c>
      <c r="G21" s="2">
        <v>100</v>
      </c>
      <c r="H21" s="2">
        <v>66.7</v>
      </c>
      <c r="I21" s="2"/>
    </row>
    <row r="22" spans="1:9" ht="22.05" customHeight="1" x14ac:dyDescent="0.3">
      <c r="A22" s="2" t="s">
        <v>30</v>
      </c>
      <c r="B22" s="2" t="s">
        <v>10</v>
      </c>
      <c r="C22" s="2" t="s">
        <v>80</v>
      </c>
      <c r="D22" s="2">
        <v>8</v>
      </c>
      <c r="E22" s="2">
        <v>23</v>
      </c>
      <c r="F22" s="2">
        <v>96.3</v>
      </c>
      <c r="G22" s="2">
        <v>85.3</v>
      </c>
      <c r="H22" s="2">
        <v>0</v>
      </c>
      <c r="I22" s="2"/>
    </row>
    <row r="23" spans="1:9" ht="22.05" customHeight="1" x14ac:dyDescent="0.3">
      <c r="A23" s="2" t="s">
        <v>31</v>
      </c>
      <c r="B23" s="2" t="s">
        <v>10</v>
      </c>
      <c r="C23" s="2" t="s">
        <v>80</v>
      </c>
      <c r="D23" s="2">
        <v>7</v>
      </c>
      <c r="E23" s="2">
        <v>15</v>
      </c>
      <c r="F23" s="2">
        <v>100</v>
      </c>
      <c r="G23" s="2">
        <v>100</v>
      </c>
      <c r="H23" s="2">
        <v>0</v>
      </c>
      <c r="I23" s="2"/>
    </row>
    <row r="24" spans="1:9" ht="22.05" customHeight="1" x14ac:dyDescent="0.3">
      <c r="A24" s="2" t="s">
        <v>32</v>
      </c>
      <c r="B24" s="2" t="s">
        <v>10</v>
      </c>
      <c r="C24" s="2" t="s">
        <v>80</v>
      </c>
      <c r="D24" s="2">
        <v>7</v>
      </c>
      <c r="E24" s="2">
        <v>12</v>
      </c>
      <c r="F24" s="2">
        <v>100</v>
      </c>
      <c r="G24" s="2">
        <v>100</v>
      </c>
      <c r="H24" s="2">
        <v>57.1</v>
      </c>
      <c r="I24" s="2"/>
    </row>
    <row r="25" spans="1:9" ht="22.05" customHeight="1" x14ac:dyDescent="0.3">
      <c r="A25" s="2" t="s">
        <v>33</v>
      </c>
      <c r="B25" s="2" t="s">
        <v>10</v>
      </c>
      <c r="C25" s="2" t="s">
        <v>80</v>
      </c>
      <c r="D25" s="2">
        <v>6</v>
      </c>
      <c r="E25" s="2">
        <v>13</v>
      </c>
      <c r="F25" s="2">
        <v>85.7</v>
      </c>
      <c r="G25" s="2">
        <v>100</v>
      </c>
      <c r="H25" s="2">
        <v>33.299999999999997</v>
      </c>
      <c r="I25" s="2"/>
    </row>
    <row r="26" spans="1:9" ht="22.05" customHeight="1" x14ac:dyDescent="0.3">
      <c r="A26" s="2" t="s">
        <v>34</v>
      </c>
      <c r="B26" s="2" t="s">
        <v>10</v>
      </c>
      <c r="C26" s="2" t="s">
        <v>80</v>
      </c>
      <c r="D26" s="2">
        <v>9</v>
      </c>
      <c r="E26" s="2">
        <v>14</v>
      </c>
      <c r="F26" s="2">
        <v>96.4</v>
      </c>
      <c r="G26" s="2">
        <v>87.5</v>
      </c>
      <c r="H26" s="2">
        <v>22.2</v>
      </c>
      <c r="I26" s="2"/>
    </row>
    <row r="27" spans="1:9" ht="22.05" customHeight="1" x14ac:dyDescent="0.3">
      <c r="A27" s="2" t="s">
        <v>35</v>
      </c>
      <c r="B27" s="2" t="s">
        <v>10</v>
      </c>
      <c r="C27" s="2" t="s">
        <v>80</v>
      </c>
      <c r="D27" s="2">
        <v>7</v>
      </c>
      <c r="E27" s="2">
        <v>17</v>
      </c>
      <c r="F27" s="2">
        <v>100</v>
      </c>
      <c r="G27" s="2">
        <v>100</v>
      </c>
      <c r="H27" s="2">
        <v>0</v>
      </c>
      <c r="I27" s="2"/>
    </row>
    <row r="28" spans="1:9" ht="22.05" customHeight="1" x14ac:dyDescent="0.3">
      <c r="A28" s="2" t="s">
        <v>9</v>
      </c>
      <c r="B28" s="2" t="s">
        <v>36</v>
      </c>
      <c r="C28" s="2" t="s">
        <v>80</v>
      </c>
      <c r="D28" s="2">
        <v>15</v>
      </c>
      <c r="E28" s="2">
        <v>15</v>
      </c>
      <c r="F28" s="2">
        <v>100</v>
      </c>
      <c r="G28" s="2">
        <v>100</v>
      </c>
      <c r="H28" s="2">
        <v>86.7</v>
      </c>
      <c r="I28" s="2"/>
    </row>
    <row r="29" spans="1:9" ht="22.05" customHeight="1" x14ac:dyDescent="0.3">
      <c r="A29" s="2" t="s">
        <v>11</v>
      </c>
      <c r="B29" s="2" t="s">
        <v>36</v>
      </c>
      <c r="C29" s="2" t="s">
        <v>80</v>
      </c>
      <c r="D29" s="2">
        <v>5</v>
      </c>
      <c r="E29" s="2">
        <v>5</v>
      </c>
      <c r="F29" s="2">
        <v>100</v>
      </c>
      <c r="G29" s="2">
        <v>100</v>
      </c>
      <c r="H29" s="2">
        <v>60</v>
      </c>
      <c r="I29" s="2"/>
    </row>
    <row r="30" spans="1:9" ht="22.05" customHeight="1" x14ac:dyDescent="0.3">
      <c r="A30" s="2" t="s">
        <v>12</v>
      </c>
      <c r="B30" s="2" t="s">
        <v>36</v>
      </c>
      <c r="C30" s="2" t="s">
        <v>80</v>
      </c>
      <c r="D30" s="2">
        <v>7</v>
      </c>
      <c r="E30" s="2">
        <v>7</v>
      </c>
      <c r="F30" s="2">
        <v>25.8</v>
      </c>
      <c r="G30" s="2">
        <v>50</v>
      </c>
      <c r="H30" s="2">
        <v>100</v>
      </c>
      <c r="I30" s="2"/>
    </row>
    <row r="31" spans="1:9" ht="22.05" customHeight="1" x14ac:dyDescent="0.3">
      <c r="A31" s="2" t="s">
        <v>13</v>
      </c>
      <c r="B31" s="2" t="s">
        <v>36</v>
      </c>
      <c r="C31" s="2" t="s">
        <v>80</v>
      </c>
      <c r="D31" s="2">
        <v>8</v>
      </c>
      <c r="E31" s="2">
        <v>11</v>
      </c>
      <c r="F31" s="2">
        <v>100</v>
      </c>
      <c r="G31" s="2">
        <v>100</v>
      </c>
      <c r="H31" s="2">
        <v>62.5</v>
      </c>
      <c r="I31" s="2"/>
    </row>
    <row r="32" spans="1:9" ht="22.05" customHeight="1" x14ac:dyDescent="0.3">
      <c r="A32" s="2" t="s">
        <v>14</v>
      </c>
      <c r="B32" s="2" t="s">
        <v>36</v>
      </c>
      <c r="C32" s="2" t="s">
        <v>80</v>
      </c>
      <c r="D32" s="2">
        <v>15</v>
      </c>
      <c r="E32" s="2">
        <v>15</v>
      </c>
      <c r="F32" s="2">
        <v>93.3</v>
      </c>
      <c r="G32" s="2">
        <v>91.7</v>
      </c>
      <c r="H32" s="2">
        <v>100</v>
      </c>
      <c r="I32" s="2"/>
    </row>
    <row r="33" spans="1:9" ht="22.05" customHeight="1" x14ac:dyDescent="0.3">
      <c r="A33" s="2" t="s">
        <v>15</v>
      </c>
      <c r="B33" s="2" t="s">
        <v>36</v>
      </c>
      <c r="C33" s="2" t="s">
        <v>80</v>
      </c>
      <c r="D33" s="2">
        <v>9</v>
      </c>
      <c r="E33" s="2">
        <v>9</v>
      </c>
      <c r="F33" s="2">
        <v>100</v>
      </c>
      <c r="G33" s="2">
        <v>75</v>
      </c>
      <c r="H33" s="2">
        <v>88.9</v>
      </c>
      <c r="I33" s="2"/>
    </row>
    <row r="34" spans="1:9" ht="22.05" customHeight="1" x14ac:dyDescent="0.3">
      <c r="A34" s="2" t="s">
        <v>16</v>
      </c>
      <c r="B34" s="2" t="s">
        <v>36</v>
      </c>
      <c r="C34" s="2" t="s">
        <v>80</v>
      </c>
      <c r="D34" s="2">
        <v>8</v>
      </c>
      <c r="E34" s="2">
        <v>10</v>
      </c>
      <c r="F34" s="2">
        <v>92.9</v>
      </c>
      <c r="G34" s="2">
        <v>91.7</v>
      </c>
      <c r="H34" s="2">
        <v>75</v>
      </c>
      <c r="I34" s="2"/>
    </row>
    <row r="35" spans="1:9" ht="22.05" customHeight="1" x14ac:dyDescent="0.3">
      <c r="A35" s="2" t="s">
        <v>17</v>
      </c>
      <c r="B35" s="2" t="s">
        <v>36</v>
      </c>
      <c r="C35" s="2" t="s">
        <v>80</v>
      </c>
      <c r="D35" s="2">
        <v>5</v>
      </c>
      <c r="E35" s="2">
        <v>5</v>
      </c>
      <c r="F35" s="2">
        <v>100</v>
      </c>
      <c r="G35" s="2">
        <v>94.4</v>
      </c>
      <c r="H35" s="2">
        <v>100</v>
      </c>
      <c r="I35" s="2"/>
    </row>
    <row r="36" spans="1:9" ht="22.05" customHeight="1" x14ac:dyDescent="0.3">
      <c r="A36" s="2" t="s">
        <v>18</v>
      </c>
      <c r="B36" s="2" t="s">
        <v>36</v>
      </c>
      <c r="C36" s="2" t="s">
        <v>80</v>
      </c>
      <c r="D36" s="2">
        <v>6</v>
      </c>
      <c r="E36" s="2">
        <v>6</v>
      </c>
      <c r="F36" s="2">
        <v>100</v>
      </c>
      <c r="G36" s="2">
        <v>95</v>
      </c>
      <c r="H36" s="2">
        <v>66.7</v>
      </c>
      <c r="I36" s="2"/>
    </row>
    <row r="37" spans="1:9" ht="22.05" customHeight="1" x14ac:dyDescent="0.3">
      <c r="A37" s="2" t="s">
        <v>19</v>
      </c>
      <c r="B37" s="2" t="s">
        <v>36</v>
      </c>
      <c r="C37" s="2" t="s">
        <v>80</v>
      </c>
      <c r="D37" s="2">
        <v>1</v>
      </c>
      <c r="E37" s="2">
        <v>1</v>
      </c>
      <c r="F37" s="2">
        <v>83.3</v>
      </c>
      <c r="G37" s="2">
        <v>90</v>
      </c>
      <c r="H37" s="2">
        <v>0</v>
      </c>
      <c r="I37" s="2"/>
    </row>
    <row r="38" spans="1:9" ht="22.05" customHeight="1" x14ac:dyDescent="0.3">
      <c r="A38" s="2" t="s">
        <v>20</v>
      </c>
      <c r="B38" s="2" t="s">
        <v>36</v>
      </c>
      <c r="C38" s="2" t="s">
        <v>80</v>
      </c>
      <c r="D38" s="2">
        <v>2</v>
      </c>
      <c r="E38" s="2">
        <v>2</v>
      </c>
      <c r="F38" s="2">
        <v>100</v>
      </c>
      <c r="G38" s="2">
        <v>100</v>
      </c>
      <c r="H38" s="2">
        <v>0</v>
      </c>
      <c r="I38" s="2"/>
    </row>
    <row r="39" spans="1:9" ht="22.05" customHeight="1" x14ac:dyDescent="0.3">
      <c r="A39" s="2" t="s">
        <v>21</v>
      </c>
      <c r="B39" s="2" t="s">
        <v>36</v>
      </c>
      <c r="C39" s="2" t="s">
        <v>80</v>
      </c>
      <c r="D39" s="2">
        <v>1</v>
      </c>
      <c r="E39" s="2">
        <v>1</v>
      </c>
      <c r="F39" s="2">
        <v>100</v>
      </c>
      <c r="G39" s="2">
        <v>90</v>
      </c>
      <c r="H39" s="2">
        <v>0</v>
      </c>
      <c r="I39" s="2"/>
    </row>
    <row r="40" spans="1:9" ht="22.05" customHeight="1" x14ac:dyDescent="0.3">
      <c r="A40" s="2" t="s">
        <v>22</v>
      </c>
      <c r="B40" s="2" t="s">
        <v>36</v>
      </c>
      <c r="C40" s="2" t="s">
        <v>80</v>
      </c>
      <c r="D40" s="2">
        <v>12</v>
      </c>
      <c r="E40" s="2">
        <v>18</v>
      </c>
      <c r="F40" s="2">
        <v>100</v>
      </c>
      <c r="G40" s="2">
        <v>87.5</v>
      </c>
      <c r="H40" s="2">
        <v>58.3</v>
      </c>
      <c r="I40" s="2"/>
    </row>
    <row r="41" spans="1:9" ht="22.05" customHeight="1" x14ac:dyDescent="0.3">
      <c r="A41" s="2" t="s">
        <v>23</v>
      </c>
      <c r="B41" s="2" t="s">
        <v>36</v>
      </c>
      <c r="C41" s="2" t="s">
        <v>80</v>
      </c>
      <c r="D41" s="2">
        <v>10</v>
      </c>
      <c r="E41" s="2">
        <v>10</v>
      </c>
      <c r="F41" s="2">
        <v>100</v>
      </c>
      <c r="G41" s="2">
        <v>100</v>
      </c>
      <c r="H41" s="2">
        <v>60</v>
      </c>
      <c r="I41" s="2"/>
    </row>
    <row r="42" spans="1:9" ht="22.05" customHeight="1" x14ac:dyDescent="0.3">
      <c r="A42" s="2" t="s">
        <v>24</v>
      </c>
      <c r="B42" s="2" t="s">
        <v>36</v>
      </c>
      <c r="C42" s="2" t="s">
        <v>80</v>
      </c>
      <c r="D42" s="2">
        <v>6</v>
      </c>
      <c r="E42" s="2">
        <v>6</v>
      </c>
      <c r="F42" s="2">
        <v>100</v>
      </c>
      <c r="G42" s="2">
        <v>100</v>
      </c>
      <c r="H42" s="2">
        <v>100</v>
      </c>
      <c r="I42" s="2"/>
    </row>
    <row r="43" spans="1:9" ht="22.05" customHeight="1" x14ac:dyDescent="0.3">
      <c r="A43" s="2" t="s">
        <v>25</v>
      </c>
      <c r="B43" s="2" t="s">
        <v>36</v>
      </c>
      <c r="C43" s="2" t="s">
        <v>80</v>
      </c>
      <c r="D43" s="2">
        <v>1</v>
      </c>
      <c r="E43" s="2">
        <v>6</v>
      </c>
      <c r="F43" s="2">
        <v>100</v>
      </c>
      <c r="G43" s="2">
        <v>100</v>
      </c>
      <c r="H43" s="2">
        <v>0</v>
      </c>
      <c r="I43" s="2"/>
    </row>
    <row r="44" spans="1:9" ht="22.05" customHeight="1" x14ac:dyDescent="0.3">
      <c r="A44" s="2" t="s">
        <v>26</v>
      </c>
      <c r="B44" s="2" t="s">
        <v>36</v>
      </c>
      <c r="C44" s="2" t="s">
        <v>80</v>
      </c>
      <c r="D44" s="2">
        <v>17</v>
      </c>
      <c r="E44" s="2">
        <v>40</v>
      </c>
      <c r="F44" s="2">
        <v>100</v>
      </c>
      <c r="G44" s="2">
        <v>100</v>
      </c>
      <c r="H44" s="2">
        <v>52.9</v>
      </c>
      <c r="I44" s="2"/>
    </row>
    <row r="45" spans="1:9" ht="22.05" customHeight="1" x14ac:dyDescent="0.3">
      <c r="A45" s="2" t="s">
        <v>27</v>
      </c>
      <c r="B45" s="2" t="s">
        <v>36</v>
      </c>
      <c r="C45" s="2" t="s">
        <v>80</v>
      </c>
      <c r="D45" s="2">
        <v>3</v>
      </c>
      <c r="E45" s="2">
        <v>12</v>
      </c>
      <c r="F45" s="2">
        <v>90.9</v>
      </c>
      <c r="G45" s="2">
        <v>83.3</v>
      </c>
      <c r="H45" s="2">
        <v>0</v>
      </c>
      <c r="I45" s="2"/>
    </row>
    <row r="46" spans="1:9" ht="22.05" customHeight="1" x14ac:dyDescent="0.3">
      <c r="A46" s="2" t="s">
        <v>28</v>
      </c>
      <c r="B46" s="2" t="s">
        <v>36</v>
      </c>
      <c r="C46" s="2" t="s">
        <v>80</v>
      </c>
      <c r="D46" s="2">
        <v>3</v>
      </c>
      <c r="E46" s="2">
        <v>3</v>
      </c>
      <c r="F46" s="2">
        <v>100</v>
      </c>
      <c r="G46" s="2">
        <v>100</v>
      </c>
      <c r="H46" s="2">
        <v>66.7</v>
      </c>
      <c r="I46" s="2"/>
    </row>
    <row r="47" spans="1:9" ht="22.05" customHeight="1" x14ac:dyDescent="0.3">
      <c r="A47" s="2" t="s">
        <v>29</v>
      </c>
      <c r="B47" s="2" t="s">
        <v>36</v>
      </c>
      <c r="C47" s="2" t="s">
        <v>80</v>
      </c>
      <c r="D47" s="2">
        <v>10</v>
      </c>
      <c r="E47" s="2">
        <v>10</v>
      </c>
      <c r="F47" s="2">
        <v>100</v>
      </c>
      <c r="G47" s="2">
        <v>100</v>
      </c>
      <c r="H47" s="2">
        <v>70</v>
      </c>
      <c r="I47" s="2"/>
    </row>
    <row r="48" spans="1:9" ht="22.05" customHeight="1" x14ac:dyDescent="0.3">
      <c r="A48" s="2" t="s">
        <v>30</v>
      </c>
      <c r="B48" s="2" t="s">
        <v>36</v>
      </c>
      <c r="C48" s="2" t="s">
        <v>80</v>
      </c>
      <c r="D48" s="2">
        <v>24</v>
      </c>
      <c r="E48" s="2">
        <v>43</v>
      </c>
      <c r="F48" s="2">
        <v>98.1</v>
      </c>
      <c r="G48" s="2">
        <v>97.1</v>
      </c>
      <c r="H48" s="2">
        <v>83.3</v>
      </c>
      <c r="I48" s="2"/>
    </row>
    <row r="49" spans="1:9" ht="22.05" customHeight="1" x14ac:dyDescent="0.3">
      <c r="A49" s="2" t="s">
        <v>31</v>
      </c>
      <c r="B49" s="2" t="s">
        <v>36</v>
      </c>
      <c r="C49" s="2" t="s">
        <v>80</v>
      </c>
      <c r="D49" s="2">
        <v>26</v>
      </c>
      <c r="E49" s="2">
        <v>49</v>
      </c>
      <c r="F49" s="2">
        <v>100</v>
      </c>
      <c r="G49" s="2">
        <v>100</v>
      </c>
      <c r="H49" s="2">
        <v>57.7</v>
      </c>
      <c r="I49" s="2"/>
    </row>
    <row r="50" spans="1:9" ht="22.05" customHeight="1" x14ac:dyDescent="0.3">
      <c r="A50" s="2" t="s">
        <v>32</v>
      </c>
      <c r="B50" s="2" t="s">
        <v>36</v>
      </c>
      <c r="C50" s="2" t="s">
        <v>80</v>
      </c>
      <c r="D50" s="2">
        <v>22</v>
      </c>
      <c r="E50" s="2">
        <v>52</v>
      </c>
      <c r="F50" s="2">
        <v>100</v>
      </c>
      <c r="G50" s="2">
        <v>100</v>
      </c>
      <c r="H50" s="2">
        <v>45.5</v>
      </c>
      <c r="I50" s="2"/>
    </row>
    <row r="51" spans="1:9" ht="22.05" customHeight="1" x14ac:dyDescent="0.3">
      <c r="A51" s="2" t="s">
        <v>33</v>
      </c>
      <c r="B51" s="2" t="s">
        <v>36</v>
      </c>
      <c r="C51" s="2" t="s">
        <v>80</v>
      </c>
      <c r="D51" s="2">
        <v>20</v>
      </c>
      <c r="E51" s="2">
        <v>37</v>
      </c>
      <c r="F51" s="2">
        <v>85.7</v>
      </c>
      <c r="G51" s="2">
        <v>100</v>
      </c>
      <c r="H51" s="2">
        <v>55</v>
      </c>
      <c r="I51" s="2"/>
    </row>
    <row r="52" spans="1:9" ht="22.05" customHeight="1" x14ac:dyDescent="0.3">
      <c r="A52" s="2" t="s">
        <v>34</v>
      </c>
      <c r="B52" s="2" t="s">
        <v>36</v>
      </c>
      <c r="C52" s="2" t="s">
        <v>80</v>
      </c>
      <c r="D52" s="2">
        <v>23</v>
      </c>
      <c r="E52" s="2">
        <v>35</v>
      </c>
      <c r="F52" s="2">
        <v>98.2</v>
      </c>
      <c r="G52" s="2">
        <v>95</v>
      </c>
      <c r="H52" s="2">
        <v>82.6</v>
      </c>
      <c r="I52" s="2"/>
    </row>
    <row r="53" spans="1:9" ht="22.05" customHeight="1" x14ac:dyDescent="0.3">
      <c r="A53" s="2" t="s">
        <v>35</v>
      </c>
      <c r="B53" s="2" t="s">
        <v>36</v>
      </c>
      <c r="C53" s="2" t="s">
        <v>80</v>
      </c>
      <c r="D53" s="2">
        <v>18</v>
      </c>
      <c r="E53" s="2">
        <v>52</v>
      </c>
      <c r="F53" s="2">
        <v>90.3</v>
      </c>
      <c r="G53" s="2">
        <v>100</v>
      </c>
      <c r="H53" s="2">
        <v>11.1</v>
      </c>
      <c r="I53" s="2"/>
    </row>
    <row r="54" spans="1:9" ht="22.05" customHeight="1" x14ac:dyDescent="0.3">
      <c r="A54" s="2" t="s">
        <v>9</v>
      </c>
      <c r="B54" s="2" t="s">
        <v>37</v>
      </c>
      <c r="C54" s="2" t="s">
        <v>80</v>
      </c>
      <c r="D54" s="2">
        <v>14</v>
      </c>
      <c r="E54" s="2">
        <v>14</v>
      </c>
      <c r="F54" s="2">
        <v>100</v>
      </c>
      <c r="G54" s="2">
        <v>100</v>
      </c>
      <c r="H54" s="2">
        <v>85.7</v>
      </c>
      <c r="I54" s="2"/>
    </row>
    <row r="55" spans="1:9" ht="22.05" customHeight="1" x14ac:dyDescent="0.3">
      <c r="A55" s="2" t="s">
        <v>11</v>
      </c>
      <c r="B55" s="2" t="s">
        <v>37</v>
      </c>
      <c r="C55" s="2" t="s">
        <v>80</v>
      </c>
      <c r="D55" s="2">
        <v>5</v>
      </c>
      <c r="E55" s="2">
        <v>5</v>
      </c>
      <c r="F55" s="2">
        <v>100</v>
      </c>
      <c r="G55" s="2">
        <v>100</v>
      </c>
      <c r="H55" s="2">
        <v>40</v>
      </c>
      <c r="I55" s="2"/>
    </row>
    <row r="56" spans="1:9" ht="22.05" customHeight="1" x14ac:dyDescent="0.3">
      <c r="A56" s="2" t="s">
        <v>12</v>
      </c>
      <c r="B56" s="2" t="s">
        <v>37</v>
      </c>
      <c r="C56" s="2" t="s">
        <v>80</v>
      </c>
      <c r="D56" s="2">
        <v>7</v>
      </c>
      <c r="E56" s="2">
        <v>7</v>
      </c>
      <c r="F56" s="2">
        <v>64.5</v>
      </c>
      <c r="G56" s="2">
        <v>80</v>
      </c>
      <c r="H56" s="2">
        <v>85.7</v>
      </c>
      <c r="I56" s="2"/>
    </row>
    <row r="57" spans="1:9" ht="22.05" customHeight="1" x14ac:dyDescent="0.3">
      <c r="A57" s="2" t="s">
        <v>13</v>
      </c>
      <c r="B57" s="2" t="s">
        <v>37</v>
      </c>
      <c r="C57" s="2" t="s">
        <v>80</v>
      </c>
      <c r="D57" s="2">
        <v>7</v>
      </c>
      <c r="E57" s="2">
        <v>7</v>
      </c>
      <c r="F57" s="2">
        <v>100</v>
      </c>
      <c r="G57" s="2">
        <v>100</v>
      </c>
      <c r="H57" s="2">
        <v>28.6</v>
      </c>
      <c r="I57" s="2"/>
    </row>
    <row r="58" spans="1:9" ht="22.05" customHeight="1" x14ac:dyDescent="0.3">
      <c r="A58" s="2" t="s">
        <v>14</v>
      </c>
      <c r="B58" s="2" t="s">
        <v>37</v>
      </c>
      <c r="C58" s="2" t="s">
        <v>80</v>
      </c>
      <c r="D58" s="2">
        <v>8</v>
      </c>
      <c r="E58" s="2">
        <v>8</v>
      </c>
      <c r="F58" s="2">
        <v>100</v>
      </c>
      <c r="G58" s="2">
        <v>100</v>
      </c>
      <c r="H58" s="2">
        <v>62.5</v>
      </c>
      <c r="I58" s="2"/>
    </row>
    <row r="59" spans="1:9" ht="22.05" customHeight="1" x14ac:dyDescent="0.3">
      <c r="A59" s="2" t="s">
        <v>15</v>
      </c>
      <c r="B59" s="2" t="s">
        <v>37</v>
      </c>
      <c r="C59" s="2" t="s">
        <v>80</v>
      </c>
      <c r="D59" s="2">
        <v>11</v>
      </c>
      <c r="E59" s="2">
        <v>11</v>
      </c>
      <c r="F59" s="2">
        <v>100</v>
      </c>
      <c r="G59" s="2">
        <v>100</v>
      </c>
      <c r="H59" s="2">
        <v>90.9</v>
      </c>
      <c r="I59" s="2"/>
    </row>
    <row r="60" spans="1:9" ht="22.05" customHeight="1" x14ac:dyDescent="0.3">
      <c r="A60" s="2" t="s">
        <v>16</v>
      </c>
      <c r="B60" s="2" t="s">
        <v>37</v>
      </c>
      <c r="C60" s="2" t="s">
        <v>80</v>
      </c>
      <c r="D60" s="2">
        <v>14</v>
      </c>
      <c r="E60" s="2">
        <v>14</v>
      </c>
      <c r="F60" s="2">
        <v>92.9</v>
      </c>
      <c r="G60" s="2">
        <v>91.7</v>
      </c>
      <c r="H60" s="2">
        <v>92.9</v>
      </c>
      <c r="I60" s="2"/>
    </row>
    <row r="61" spans="1:9" ht="22.05" customHeight="1" x14ac:dyDescent="0.3">
      <c r="A61" s="2" t="s">
        <v>17</v>
      </c>
      <c r="B61" s="2" t="s">
        <v>37</v>
      </c>
      <c r="C61" s="2" t="s">
        <v>80</v>
      </c>
      <c r="D61" s="2">
        <v>11</v>
      </c>
      <c r="E61" s="2">
        <v>11</v>
      </c>
      <c r="F61" s="2">
        <v>100</v>
      </c>
      <c r="G61" s="2">
        <v>94.4</v>
      </c>
      <c r="H61" s="2">
        <v>81.8</v>
      </c>
      <c r="I61" s="2"/>
    </row>
    <row r="62" spans="1:9" ht="22.05" customHeight="1" x14ac:dyDescent="0.3">
      <c r="A62" s="2" t="s">
        <v>18</v>
      </c>
      <c r="B62" s="2" t="s">
        <v>37</v>
      </c>
      <c r="C62" s="2" t="s">
        <v>80</v>
      </c>
      <c r="D62" s="2">
        <v>15</v>
      </c>
      <c r="E62" s="2">
        <v>15</v>
      </c>
      <c r="F62" s="2">
        <v>100</v>
      </c>
      <c r="G62" s="2">
        <v>100</v>
      </c>
      <c r="H62" s="2">
        <v>100</v>
      </c>
      <c r="I62" s="2"/>
    </row>
    <row r="63" spans="1:9" ht="22.05" customHeight="1" x14ac:dyDescent="0.3">
      <c r="A63" s="2" t="s">
        <v>19</v>
      </c>
      <c r="B63" s="2" t="s">
        <v>37</v>
      </c>
      <c r="C63" s="2" t="s">
        <v>80</v>
      </c>
      <c r="D63" s="2">
        <v>20</v>
      </c>
      <c r="E63" s="2">
        <v>20</v>
      </c>
      <c r="F63" s="2">
        <v>100</v>
      </c>
      <c r="G63" s="2">
        <v>100</v>
      </c>
      <c r="H63" s="2">
        <v>100</v>
      </c>
      <c r="I63" s="2"/>
    </row>
    <row r="64" spans="1:9" ht="22.05" customHeight="1" x14ac:dyDescent="0.3">
      <c r="A64" s="2" t="s">
        <v>20</v>
      </c>
      <c r="B64" s="2" t="s">
        <v>37</v>
      </c>
      <c r="C64" s="2" t="s">
        <v>80</v>
      </c>
      <c r="D64" s="2">
        <v>11</v>
      </c>
      <c r="E64" s="2">
        <v>11</v>
      </c>
      <c r="F64" s="2">
        <v>100</v>
      </c>
      <c r="G64" s="2">
        <v>100</v>
      </c>
      <c r="H64" s="2">
        <v>90.9</v>
      </c>
      <c r="I64" s="2"/>
    </row>
    <row r="65" spans="1:9" ht="22.05" customHeight="1" x14ac:dyDescent="0.3">
      <c r="A65" s="2" t="s">
        <v>21</v>
      </c>
      <c r="B65" s="2" t="s">
        <v>37</v>
      </c>
      <c r="C65" s="2" t="s">
        <v>80</v>
      </c>
      <c r="D65" s="2">
        <v>8</v>
      </c>
      <c r="E65" s="2">
        <v>8</v>
      </c>
      <c r="F65" s="2">
        <v>100</v>
      </c>
      <c r="G65" s="2">
        <v>90</v>
      </c>
      <c r="H65" s="2">
        <v>100</v>
      </c>
      <c r="I65" s="2"/>
    </row>
    <row r="66" spans="1:9" ht="22.05" customHeight="1" x14ac:dyDescent="0.3">
      <c r="A66" s="2" t="s">
        <v>22</v>
      </c>
      <c r="B66" s="2" t="s">
        <v>37</v>
      </c>
      <c r="C66" s="2" t="s">
        <v>80</v>
      </c>
      <c r="D66" s="2">
        <v>15</v>
      </c>
      <c r="E66" s="2">
        <v>15</v>
      </c>
      <c r="F66" s="2">
        <v>100</v>
      </c>
      <c r="G66" s="2">
        <v>95.8</v>
      </c>
      <c r="H66" s="2">
        <v>66.7</v>
      </c>
      <c r="I66" s="2"/>
    </row>
    <row r="67" spans="1:9" ht="22.05" customHeight="1" x14ac:dyDescent="0.3">
      <c r="A67" s="2" t="s">
        <v>23</v>
      </c>
      <c r="B67" s="2" t="s">
        <v>37</v>
      </c>
      <c r="C67" s="2" t="s">
        <v>80</v>
      </c>
      <c r="D67" s="2">
        <v>8</v>
      </c>
      <c r="E67" s="2">
        <v>8</v>
      </c>
      <c r="F67" s="2">
        <v>100</v>
      </c>
      <c r="G67" s="2">
        <v>100</v>
      </c>
      <c r="H67" s="2">
        <v>50</v>
      </c>
      <c r="I67" s="2"/>
    </row>
    <row r="68" spans="1:9" ht="22.05" customHeight="1" x14ac:dyDescent="0.3">
      <c r="A68" s="2" t="s">
        <v>24</v>
      </c>
      <c r="B68" s="2" t="s">
        <v>37</v>
      </c>
      <c r="C68" s="2" t="s">
        <v>80</v>
      </c>
      <c r="D68" s="2">
        <v>8</v>
      </c>
      <c r="E68" s="2">
        <v>8</v>
      </c>
      <c r="F68" s="2">
        <v>100</v>
      </c>
      <c r="G68" s="2">
        <v>100</v>
      </c>
      <c r="H68" s="2">
        <v>87.5</v>
      </c>
      <c r="I68" s="2"/>
    </row>
    <row r="69" spans="1:9" ht="22.05" customHeight="1" x14ac:dyDescent="0.3">
      <c r="A69" s="2" t="s">
        <v>25</v>
      </c>
      <c r="B69" s="2" t="s">
        <v>37</v>
      </c>
      <c r="C69" s="2" t="s">
        <v>80</v>
      </c>
      <c r="D69" s="2">
        <v>8</v>
      </c>
      <c r="E69" s="2">
        <v>8</v>
      </c>
      <c r="F69" s="2">
        <v>100</v>
      </c>
      <c r="G69" s="2">
        <v>100</v>
      </c>
      <c r="H69" s="2">
        <v>87.5</v>
      </c>
      <c r="I69" s="2"/>
    </row>
    <row r="70" spans="1:9" ht="22.05" customHeight="1" x14ac:dyDescent="0.3">
      <c r="A70" s="2" t="s">
        <v>26</v>
      </c>
      <c r="B70" s="2" t="s">
        <v>37</v>
      </c>
      <c r="C70" s="2" t="s">
        <v>80</v>
      </c>
      <c r="D70" s="2">
        <v>7</v>
      </c>
      <c r="E70" s="2">
        <v>7</v>
      </c>
      <c r="F70" s="2">
        <v>100</v>
      </c>
      <c r="G70" s="2">
        <v>100</v>
      </c>
      <c r="H70" s="2">
        <v>28.6</v>
      </c>
      <c r="I70" s="2"/>
    </row>
    <row r="71" spans="1:9" ht="22.05" customHeight="1" x14ac:dyDescent="0.3">
      <c r="A71" s="2" t="s">
        <v>27</v>
      </c>
      <c r="B71" s="2" t="s">
        <v>37</v>
      </c>
      <c r="C71" s="2" t="s">
        <v>80</v>
      </c>
      <c r="D71" s="2">
        <v>4</v>
      </c>
      <c r="E71" s="2">
        <v>14</v>
      </c>
      <c r="F71" s="2">
        <v>100</v>
      </c>
      <c r="G71" s="2">
        <v>100</v>
      </c>
      <c r="H71" s="2">
        <v>0</v>
      </c>
      <c r="I71" s="2"/>
    </row>
    <row r="72" spans="1:9" ht="22.05" customHeight="1" x14ac:dyDescent="0.3">
      <c r="A72" s="2" t="s">
        <v>28</v>
      </c>
      <c r="B72" s="2" t="s">
        <v>37</v>
      </c>
      <c r="C72" s="2" t="s">
        <v>80</v>
      </c>
      <c r="D72" s="2">
        <v>12</v>
      </c>
      <c r="E72" s="2">
        <v>12</v>
      </c>
      <c r="F72" s="2">
        <v>100</v>
      </c>
      <c r="G72" s="2">
        <v>100</v>
      </c>
      <c r="H72" s="2">
        <v>100</v>
      </c>
      <c r="I72" s="2"/>
    </row>
    <row r="73" spans="1:9" ht="22.05" customHeight="1" x14ac:dyDescent="0.3">
      <c r="A73" s="2" t="s">
        <v>29</v>
      </c>
      <c r="B73" s="2" t="s">
        <v>37</v>
      </c>
      <c r="C73" s="2" t="s">
        <v>80</v>
      </c>
      <c r="D73" s="2">
        <v>7</v>
      </c>
      <c r="E73" s="2">
        <v>7</v>
      </c>
      <c r="F73" s="2">
        <v>100</v>
      </c>
      <c r="G73" s="2">
        <v>100</v>
      </c>
      <c r="H73" s="2">
        <v>42.9</v>
      </c>
      <c r="I73" s="2"/>
    </row>
    <row r="74" spans="1:9" ht="22.05" customHeight="1" x14ac:dyDescent="0.3">
      <c r="A74" s="2" t="s">
        <v>30</v>
      </c>
      <c r="B74" s="2" t="s">
        <v>37</v>
      </c>
      <c r="C74" s="2" t="s">
        <v>80</v>
      </c>
      <c r="D74" s="2">
        <v>19</v>
      </c>
      <c r="E74" s="2">
        <v>19</v>
      </c>
      <c r="F74" s="2">
        <v>98.1</v>
      </c>
      <c r="G74" s="2">
        <v>94.1</v>
      </c>
      <c r="H74" s="2">
        <v>78.900000000000006</v>
      </c>
      <c r="I74" s="2"/>
    </row>
    <row r="75" spans="1:9" ht="22.05" customHeight="1" x14ac:dyDescent="0.3">
      <c r="A75" s="2" t="s">
        <v>31</v>
      </c>
      <c r="B75" s="2" t="s">
        <v>37</v>
      </c>
      <c r="C75" s="2" t="s">
        <v>80</v>
      </c>
      <c r="D75" s="2">
        <v>10</v>
      </c>
      <c r="E75" s="2">
        <v>10</v>
      </c>
      <c r="F75" s="2">
        <v>100</v>
      </c>
      <c r="G75" s="2">
        <v>100</v>
      </c>
      <c r="H75" s="2">
        <v>40</v>
      </c>
      <c r="I75" s="2"/>
    </row>
    <row r="76" spans="1:9" ht="22.05" customHeight="1" x14ac:dyDescent="0.3">
      <c r="A76" s="2" t="s">
        <v>32</v>
      </c>
      <c r="B76" s="2" t="s">
        <v>37</v>
      </c>
      <c r="C76" s="2" t="s">
        <v>80</v>
      </c>
      <c r="D76" s="2">
        <v>16</v>
      </c>
      <c r="E76" s="2">
        <v>16</v>
      </c>
      <c r="F76" s="2">
        <v>100</v>
      </c>
      <c r="G76" s="2">
        <v>100</v>
      </c>
      <c r="H76" s="2">
        <v>81.2</v>
      </c>
      <c r="I76" s="2"/>
    </row>
    <row r="77" spans="1:9" ht="22.05" customHeight="1" x14ac:dyDescent="0.3">
      <c r="A77" s="2" t="s">
        <v>33</v>
      </c>
      <c r="B77" s="2" t="s">
        <v>37</v>
      </c>
      <c r="C77" s="2" t="s">
        <v>84</v>
      </c>
      <c r="D77" s="2" t="s">
        <v>83</v>
      </c>
      <c r="E77" s="2" t="s">
        <v>83</v>
      </c>
      <c r="F77" s="2" t="s">
        <v>83</v>
      </c>
      <c r="G77" s="2" t="s">
        <v>83</v>
      </c>
      <c r="H77" s="2" t="s">
        <v>83</v>
      </c>
      <c r="I77" s="2"/>
    </row>
    <row r="78" spans="1:9" ht="22.05" customHeight="1" x14ac:dyDescent="0.3">
      <c r="A78" s="2" t="s">
        <v>34</v>
      </c>
      <c r="B78" s="2" t="s">
        <v>37</v>
      </c>
      <c r="C78" s="2" t="s">
        <v>84</v>
      </c>
      <c r="D78" s="2" t="s">
        <v>83</v>
      </c>
      <c r="E78" s="2" t="s">
        <v>83</v>
      </c>
      <c r="F78" s="2" t="s">
        <v>83</v>
      </c>
      <c r="G78" s="2" t="s">
        <v>83</v>
      </c>
      <c r="H78" s="2" t="s">
        <v>83</v>
      </c>
      <c r="I78" s="2"/>
    </row>
    <row r="79" spans="1:9" ht="22.05" customHeight="1" x14ac:dyDescent="0.3">
      <c r="A79" s="2" t="s">
        <v>35</v>
      </c>
      <c r="B79" s="2" t="s">
        <v>37</v>
      </c>
      <c r="C79" s="2" t="s">
        <v>80</v>
      </c>
      <c r="D79" s="2">
        <v>16</v>
      </c>
      <c r="E79" s="2">
        <v>18</v>
      </c>
      <c r="F79" s="2">
        <v>100</v>
      </c>
      <c r="G79" s="2">
        <v>100</v>
      </c>
      <c r="H79" s="2">
        <v>62.5</v>
      </c>
      <c r="I79" s="2"/>
    </row>
    <row r="80" spans="1:9" ht="22.05" customHeight="1" x14ac:dyDescent="0.3">
      <c r="A80" s="2" t="s">
        <v>9</v>
      </c>
      <c r="B80" s="2" t="s">
        <v>38</v>
      </c>
      <c r="C80" s="2" t="s">
        <v>80</v>
      </c>
      <c r="D80" s="2">
        <v>11</v>
      </c>
      <c r="E80" s="2">
        <v>11</v>
      </c>
      <c r="F80" s="2">
        <v>100</v>
      </c>
      <c r="G80" s="2">
        <v>100</v>
      </c>
      <c r="H80" s="2">
        <v>45.5</v>
      </c>
      <c r="I80" s="2"/>
    </row>
    <row r="81" spans="1:9" ht="22.05" customHeight="1" x14ac:dyDescent="0.3">
      <c r="A81" s="2" t="s">
        <v>11</v>
      </c>
      <c r="B81" s="2" t="s">
        <v>38</v>
      </c>
      <c r="C81" s="2" t="s">
        <v>80</v>
      </c>
      <c r="D81" s="2">
        <v>4</v>
      </c>
      <c r="E81" s="2">
        <v>4</v>
      </c>
      <c r="F81" s="2">
        <v>100</v>
      </c>
      <c r="G81" s="2">
        <v>100</v>
      </c>
      <c r="H81" s="2">
        <v>0</v>
      </c>
      <c r="I81" s="2"/>
    </row>
    <row r="82" spans="1:9" ht="22.05" customHeight="1" x14ac:dyDescent="0.3">
      <c r="A82" s="2" t="s">
        <v>12</v>
      </c>
      <c r="B82" s="2" t="s">
        <v>38</v>
      </c>
      <c r="C82" s="2" t="s">
        <v>80</v>
      </c>
      <c r="D82" s="2">
        <v>6</v>
      </c>
      <c r="E82" s="2">
        <v>6</v>
      </c>
      <c r="F82" s="2">
        <v>64.5</v>
      </c>
      <c r="G82" s="2">
        <v>80</v>
      </c>
      <c r="H82" s="2">
        <v>100</v>
      </c>
      <c r="I82" s="2"/>
    </row>
    <row r="83" spans="1:9" ht="22.05" customHeight="1" x14ac:dyDescent="0.3">
      <c r="A83" s="2" t="s">
        <v>13</v>
      </c>
      <c r="B83" s="2" t="s">
        <v>38</v>
      </c>
      <c r="C83" s="2" t="s">
        <v>80</v>
      </c>
      <c r="D83" s="2">
        <v>11</v>
      </c>
      <c r="E83" s="2">
        <v>11</v>
      </c>
      <c r="F83" s="2">
        <v>100</v>
      </c>
      <c r="G83" s="2">
        <v>100</v>
      </c>
      <c r="H83" s="2">
        <v>100</v>
      </c>
      <c r="I83" s="2"/>
    </row>
    <row r="84" spans="1:9" ht="22.05" customHeight="1" x14ac:dyDescent="0.3">
      <c r="A84" s="2" t="s">
        <v>14</v>
      </c>
      <c r="B84" s="2" t="s">
        <v>38</v>
      </c>
      <c r="C84" s="2" t="s">
        <v>80</v>
      </c>
      <c r="D84" s="2">
        <v>12</v>
      </c>
      <c r="E84" s="2">
        <v>12</v>
      </c>
      <c r="F84" s="2">
        <v>100</v>
      </c>
      <c r="G84" s="2">
        <v>100</v>
      </c>
      <c r="H84" s="2">
        <v>91.7</v>
      </c>
      <c r="I84" s="2"/>
    </row>
    <row r="85" spans="1:9" ht="22.05" customHeight="1" x14ac:dyDescent="0.3">
      <c r="A85" s="2" t="s">
        <v>15</v>
      </c>
      <c r="B85" s="2" t="s">
        <v>38</v>
      </c>
      <c r="C85" s="2" t="s">
        <v>80</v>
      </c>
      <c r="D85" s="2">
        <v>12</v>
      </c>
      <c r="E85" s="2">
        <v>12</v>
      </c>
      <c r="F85" s="2">
        <v>100</v>
      </c>
      <c r="G85" s="2">
        <v>100</v>
      </c>
      <c r="H85" s="2">
        <v>91.7</v>
      </c>
      <c r="I85" s="2"/>
    </row>
    <row r="86" spans="1:9" ht="22.05" customHeight="1" x14ac:dyDescent="0.3">
      <c r="A86" s="2" t="s">
        <v>16</v>
      </c>
      <c r="B86" s="2" t="s">
        <v>38</v>
      </c>
      <c r="C86" s="2" t="s">
        <v>80</v>
      </c>
      <c r="D86" s="2">
        <v>10</v>
      </c>
      <c r="E86" s="2">
        <v>10</v>
      </c>
      <c r="F86" s="2">
        <v>92.9</v>
      </c>
      <c r="G86" s="2">
        <v>91.7</v>
      </c>
      <c r="H86" s="2">
        <v>70</v>
      </c>
      <c r="I86" s="2"/>
    </row>
    <row r="87" spans="1:9" ht="22.05" customHeight="1" x14ac:dyDescent="0.3">
      <c r="A87" s="2" t="s">
        <v>17</v>
      </c>
      <c r="B87" s="2" t="s">
        <v>38</v>
      </c>
      <c r="C87" s="2" t="s">
        <v>80</v>
      </c>
      <c r="D87" s="2">
        <v>11</v>
      </c>
      <c r="E87" s="2">
        <v>11</v>
      </c>
      <c r="F87" s="2">
        <v>100</v>
      </c>
      <c r="G87" s="2">
        <v>94.4</v>
      </c>
      <c r="H87" s="2">
        <v>90.9</v>
      </c>
      <c r="I87" s="2"/>
    </row>
    <row r="88" spans="1:9" ht="22.05" customHeight="1" x14ac:dyDescent="0.3">
      <c r="A88" s="2" t="s">
        <v>18</v>
      </c>
      <c r="B88" s="2" t="s">
        <v>38</v>
      </c>
      <c r="C88" s="2" t="s">
        <v>80</v>
      </c>
      <c r="D88" s="2">
        <v>15</v>
      </c>
      <c r="E88" s="2">
        <v>15</v>
      </c>
      <c r="F88" s="2">
        <v>100</v>
      </c>
      <c r="G88" s="2">
        <v>100</v>
      </c>
      <c r="H88" s="2">
        <v>93.3</v>
      </c>
      <c r="I88" s="2"/>
    </row>
    <row r="89" spans="1:9" ht="22.05" customHeight="1" x14ac:dyDescent="0.3">
      <c r="A89" s="2" t="s">
        <v>19</v>
      </c>
      <c r="B89" s="2" t="s">
        <v>38</v>
      </c>
      <c r="C89" s="2" t="s">
        <v>80</v>
      </c>
      <c r="D89" s="2">
        <v>12</v>
      </c>
      <c r="E89" s="2">
        <v>27</v>
      </c>
      <c r="F89" s="2">
        <v>100</v>
      </c>
      <c r="G89" s="2">
        <v>100</v>
      </c>
      <c r="H89" s="2">
        <v>100</v>
      </c>
      <c r="I89" s="2"/>
    </row>
    <row r="90" spans="1:9" ht="22.05" customHeight="1" x14ac:dyDescent="0.3">
      <c r="A90" s="2" t="s">
        <v>20</v>
      </c>
      <c r="B90" s="2" t="s">
        <v>38</v>
      </c>
      <c r="C90" s="2" t="s">
        <v>80</v>
      </c>
      <c r="D90" s="2">
        <v>7</v>
      </c>
      <c r="E90" s="2">
        <v>7</v>
      </c>
      <c r="F90" s="2">
        <v>100</v>
      </c>
      <c r="G90" s="2">
        <v>100</v>
      </c>
      <c r="H90" s="2">
        <v>71.400000000000006</v>
      </c>
      <c r="I90" s="2"/>
    </row>
    <row r="91" spans="1:9" ht="22.05" customHeight="1" x14ac:dyDescent="0.3">
      <c r="A91" s="2" t="s">
        <v>21</v>
      </c>
      <c r="B91" s="2" t="s">
        <v>38</v>
      </c>
      <c r="C91" s="2" t="s">
        <v>80</v>
      </c>
      <c r="D91" s="2">
        <v>8</v>
      </c>
      <c r="E91" s="2">
        <v>8</v>
      </c>
      <c r="F91" s="2">
        <v>100</v>
      </c>
      <c r="G91" s="2">
        <v>90</v>
      </c>
      <c r="H91" s="2">
        <v>100</v>
      </c>
      <c r="I91" s="2"/>
    </row>
    <row r="92" spans="1:9" ht="22.05" customHeight="1" x14ac:dyDescent="0.3">
      <c r="A92" s="2" t="s">
        <v>22</v>
      </c>
      <c r="B92" s="2" t="s">
        <v>38</v>
      </c>
      <c r="C92" s="2" t="s">
        <v>80</v>
      </c>
      <c r="D92" s="2">
        <v>11</v>
      </c>
      <c r="E92" s="2">
        <v>11</v>
      </c>
      <c r="F92" s="2">
        <v>100</v>
      </c>
      <c r="G92" s="2">
        <v>95.8</v>
      </c>
      <c r="H92" s="2">
        <v>54.5</v>
      </c>
      <c r="I92" s="2"/>
    </row>
    <row r="93" spans="1:9" ht="22.05" customHeight="1" x14ac:dyDescent="0.3">
      <c r="A93" s="2" t="s">
        <v>23</v>
      </c>
      <c r="B93" s="2" t="s">
        <v>38</v>
      </c>
      <c r="C93" s="2" t="s">
        <v>80</v>
      </c>
      <c r="D93" s="2">
        <v>8</v>
      </c>
      <c r="E93" s="2">
        <v>8</v>
      </c>
      <c r="F93" s="2">
        <v>100</v>
      </c>
      <c r="G93" s="2">
        <v>100</v>
      </c>
      <c r="H93" s="2">
        <v>75</v>
      </c>
      <c r="I93" s="2"/>
    </row>
    <row r="94" spans="1:9" ht="22.05" customHeight="1" x14ac:dyDescent="0.3">
      <c r="A94" s="2" t="s">
        <v>24</v>
      </c>
      <c r="B94" s="2" t="s">
        <v>38</v>
      </c>
      <c r="C94" s="2" t="s">
        <v>80</v>
      </c>
      <c r="D94" s="2">
        <v>7</v>
      </c>
      <c r="E94" s="2">
        <v>7</v>
      </c>
      <c r="F94" s="2">
        <v>100</v>
      </c>
      <c r="G94" s="2">
        <v>100</v>
      </c>
      <c r="H94" s="2">
        <v>71.400000000000006</v>
      </c>
      <c r="I94" s="2"/>
    </row>
    <row r="95" spans="1:9" ht="22.05" customHeight="1" x14ac:dyDescent="0.3">
      <c r="A95" s="2" t="s">
        <v>25</v>
      </c>
      <c r="B95" s="2" t="s">
        <v>38</v>
      </c>
      <c r="C95" s="2" t="s">
        <v>80</v>
      </c>
      <c r="D95" s="2">
        <v>9</v>
      </c>
      <c r="E95" s="2">
        <v>9</v>
      </c>
      <c r="F95" s="2">
        <v>100</v>
      </c>
      <c r="G95" s="2">
        <v>100</v>
      </c>
      <c r="H95" s="2">
        <v>88.9</v>
      </c>
      <c r="I95" s="2"/>
    </row>
    <row r="96" spans="1:9" ht="22.05" customHeight="1" x14ac:dyDescent="0.3">
      <c r="A96" s="2" t="s">
        <v>26</v>
      </c>
      <c r="B96" s="2" t="s">
        <v>38</v>
      </c>
      <c r="C96" s="2" t="s">
        <v>80</v>
      </c>
      <c r="D96" s="2">
        <v>8</v>
      </c>
      <c r="E96" s="2">
        <v>8</v>
      </c>
      <c r="F96" s="2">
        <v>100</v>
      </c>
      <c r="G96" s="2">
        <v>100</v>
      </c>
      <c r="H96" s="2">
        <v>0</v>
      </c>
      <c r="I96" s="2"/>
    </row>
    <row r="97" spans="1:9" ht="22.05" customHeight="1" x14ac:dyDescent="0.3">
      <c r="A97" s="2" t="s">
        <v>27</v>
      </c>
      <c r="B97" s="2" t="s">
        <v>38</v>
      </c>
      <c r="C97" s="2" t="s">
        <v>80</v>
      </c>
      <c r="D97" s="2">
        <v>13</v>
      </c>
      <c r="E97" s="2">
        <v>13</v>
      </c>
      <c r="F97" s="2">
        <v>90.9</v>
      </c>
      <c r="G97" s="2">
        <v>83.3</v>
      </c>
      <c r="H97" s="2">
        <v>100</v>
      </c>
      <c r="I97" s="2"/>
    </row>
    <row r="98" spans="1:9" ht="22.05" customHeight="1" x14ac:dyDescent="0.3">
      <c r="A98" s="2" t="s">
        <v>28</v>
      </c>
      <c r="B98" s="2" t="s">
        <v>38</v>
      </c>
      <c r="C98" s="2" t="s">
        <v>80</v>
      </c>
      <c r="D98" s="2">
        <v>3</v>
      </c>
      <c r="E98" s="2">
        <v>3</v>
      </c>
      <c r="F98" s="2">
        <v>100</v>
      </c>
      <c r="G98" s="2">
        <v>100</v>
      </c>
      <c r="H98" s="2">
        <v>100</v>
      </c>
      <c r="I98" s="2"/>
    </row>
    <row r="99" spans="1:9" ht="22.05" customHeight="1" x14ac:dyDescent="0.3">
      <c r="A99" s="2" t="s">
        <v>29</v>
      </c>
      <c r="B99" s="2" t="s">
        <v>38</v>
      </c>
      <c r="C99" s="2" t="s">
        <v>80</v>
      </c>
      <c r="D99" s="2">
        <v>11</v>
      </c>
      <c r="E99" s="2">
        <v>11</v>
      </c>
      <c r="F99" s="2">
        <v>100</v>
      </c>
      <c r="G99" s="2">
        <v>100</v>
      </c>
      <c r="H99" s="2">
        <v>100</v>
      </c>
      <c r="I99" s="2"/>
    </row>
    <row r="100" spans="1:9" ht="22.05" customHeight="1" x14ac:dyDescent="0.3">
      <c r="A100" s="2" t="s">
        <v>30</v>
      </c>
      <c r="B100" s="2" t="s">
        <v>38</v>
      </c>
      <c r="C100" s="2" t="s">
        <v>80</v>
      </c>
      <c r="D100" s="2">
        <v>27</v>
      </c>
      <c r="E100" s="2">
        <v>27</v>
      </c>
      <c r="F100" s="2">
        <v>100</v>
      </c>
      <c r="G100" s="2">
        <v>100</v>
      </c>
      <c r="H100" s="2">
        <v>88.9</v>
      </c>
      <c r="I100" s="2"/>
    </row>
    <row r="101" spans="1:9" ht="22.05" customHeight="1" x14ac:dyDescent="0.3">
      <c r="A101" s="2" t="s">
        <v>31</v>
      </c>
      <c r="B101" s="2" t="s">
        <v>38</v>
      </c>
      <c r="C101" s="2" t="s">
        <v>80</v>
      </c>
      <c r="D101" s="2">
        <v>12</v>
      </c>
      <c r="E101" s="2">
        <v>12</v>
      </c>
      <c r="F101" s="2">
        <v>100</v>
      </c>
      <c r="G101" s="2">
        <v>100</v>
      </c>
      <c r="H101" s="2">
        <v>75</v>
      </c>
      <c r="I101" s="2"/>
    </row>
    <row r="102" spans="1:9" ht="22.05" customHeight="1" x14ac:dyDescent="0.3">
      <c r="A102" s="2" t="s">
        <v>32</v>
      </c>
      <c r="B102" s="2" t="s">
        <v>38</v>
      </c>
      <c r="C102" s="2" t="s">
        <v>80</v>
      </c>
      <c r="D102" s="2">
        <v>10</v>
      </c>
      <c r="E102" s="2">
        <v>10</v>
      </c>
      <c r="F102" s="2">
        <v>100</v>
      </c>
      <c r="G102" s="2">
        <v>100</v>
      </c>
      <c r="H102" s="2">
        <v>90</v>
      </c>
      <c r="I102" s="2"/>
    </row>
    <row r="103" spans="1:9" ht="22.05" customHeight="1" x14ac:dyDescent="0.3">
      <c r="A103" s="2" t="s">
        <v>33</v>
      </c>
      <c r="B103" s="2" t="s">
        <v>38</v>
      </c>
      <c r="C103" s="2" t="s">
        <v>80</v>
      </c>
      <c r="D103" s="2">
        <v>12</v>
      </c>
      <c r="E103" s="2">
        <v>12</v>
      </c>
      <c r="F103" s="2">
        <v>85.7</v>
      </c>
      <c r="G103" s="2">
        <v>100</v>
      </c>
      <c r="H103" s="2">
        <v>83.3</v>
      </c>
      <c r="I103" s="2"/>
    </row>
    <row r="104" spans="1:9" ht="22.05" customHeight="1" x14ac:dyDescent="0.3">
      <c r="A104" s="2" t="s">
        <v>34</v>
      </c>
      <c r="B104" s="2" t="s">
        <v>38</v>
      </c>
      <c r="C104" s="2" t="s">
        <v>80</v>
      </c>
      <c r="D104" s="2">
        <v>17</v>
      </c>
      <c r="E104" s="2">
        <v>17</v>
      </c>
      <c r="F104" s="2">
        <v>96.4</v>
      </c>
      <c r="G104" s="2">
        <v>92.5</v>
      </c>
      <c r="H104" s="2">
        <v>88.2</v>
      </c>
      <c r="I104" s="2"/>
    </row>
    <row r="105" spans="1:9" ht="22.05" customHeight="1" x14ac:dyDescent="0.3">
      <c r="A105" s="2" t="s">
        <v>35</v>
      </c>
      <c r="B105" s="2" t="s">
        <v>38</v>
      </c>
      <c r="C105" s="2" t="s">
        <v>80</v>
      </c>
      <c r="D105" s="2">
        <v>14</v>
      </c>
      <c r="E105" s="2">
        <v>14</v>
      </c>
      <c r="F105" s="2">
        <v>100</v>
      </c>
      <c r="G105" s="2">
        <v>100</v>
      </c>
      <c r="H105" s="2">
        <v>100</v>
      </c>
      <c r="I105" s="2"/>
    </row>
  </sheetData>
  <autoFilter ref="A1:I105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pane ySplit="1" topLeftCell="A23" activePane="bottomLeft" state="frozen"/>
      <selection pane="bottomLeft" activeCell="I9" sqref="I9"/>
    </sheetView>
  </sheetViews>
  <sheetFormatPr defaultRowHeight="13.5" x14ac:dyDescent="0.3"/>
  <cols>
    <col min="1" max="1" width="12" customWidth="1"/>
    <col min="2" max="2" width="15" customWidth="1"/>
    <col min="3" max="3" width="13" customWidth="1"/>
    <col min="4" max="4" width="12" customWidth="1"/>
    <col min="5" max="5" width="15" customWidth="1"/>
    <col min="6" max="6" width="16" customWidth="1"/>
    <col min="7" max="7" width="13" customWidth="1"/>
    <col min="8" max="8" width="18" customWidth="1"/>
    <col min="9" max="9" width="68" customWidth="1"/>
  </cols>
  <sheetData>
    <row r="1" spans="1:9" x14ac:dyDescent="0.3">
      <c r="A1" s="1" t="s">
        <v>1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ht="34.049999999999997" customHeight="1" x14ac:dyDescent="0.3">
      <c r="A2" s="2" t="s">
        <v>10</v>
      </c>
      <c r="B2" s="4">
        <f>IFERROR(AVERAGEIF(明细!$B$2:$B$105,$A2,明细!$D$2:$D$105),"")</f>
        <v>6.3461538461538458</v>
      </c>
      <c r="C2" s="4">
        <f>IFERROR(AVERAGEIF(明细!$B$2:$B$105,$A2,明细!$E$2:$E$105),"")</f>
        <v>10.846153846153847</v>
      </c>
      <c r="D2" s="4">
        <f>IFERROR(COUNTIFS(明细!$B$2:$B$105,$A2,明细!$C$2:$C$105,"是")/(COUNTIFS(明细!$B$2:$B$105,$A2,明细!$C$2:$C$105,"是")+COUNTIFS(明细!$B$2:$B$105,$A2,明细!$C$2:$C$105,"否")-COUNTIFS(明细!$B$2:$B$105,$A2,明细!$D$2:$D$105,"—"))*100,"")</f>
        <v>100</v>
      </c>
      <c r="E2" s="4">
        <f>IFERROR(AVERAGEIF(明细!$B$2:$B$105,$A2,明细!$F$2:$F$105),"")</f>
        <v>95.280769230769224</v>
      </c>
      <c r="F2" s="4">
        <f>IFERROR(AVERAGEIF(明细!$B$2:$B$105,$A2,明细!$G$2:$G$105),"")</f>
        <v>94</v>
      </c>
      <c r="G2" s="6">
        <f>IFERROR(AVERAGEIF(明细!$B$2:$B$105,$A2,明细!$H$2:$H$105),"")</f>
        <v>38.515384615384619</v>
      </c>
      <c r="H2" s="7" t="s">
        <v>47</v>
      </c>
      <c r="I2" s="7" t="s">
        <v>85</v>
      </c>
    </row>
    <row r="3" spans="1:9" ht="34.049999999999997" customHeight="1" x14ac:dyDescent="0.3">
      <c r="A3" s="2" t="s">
        <v>36</v>
      </c>
      <c r="B3" s="4">
        <f>IFERROR(AVERAGEIF(明细!$B$2:$B$105,$A3,明细!$D$2:$D$105),"")</f>
        <v>10.653846153846153</v>
      </c>
      <c r="C3" s="4">
        <f>IFERROR(AVERAGEIF(明细!$B$2:$B$105,$A3,明细!$E$2:$E$105),"")</f>
        <v>17.692307692307693</v>
      </c>
      <c r="D3" s="4">
        <f>IFERROR(COUNTIFS(明细!$B$2:$B$105,$A3,明细!$C$2:$C$105,"是")/(COUNTIFS(明细!$B$2:$B$105,$A3,明细!$C$2:$C$105,"是")+COUNTIFS(明细!$B$2:$B$105,$A3,明细!$C$2:$C$105,"否")-COUNTIFS(明细!$B$2:$B$105,$A3,明细!$D$2:$D$105,"—"))*100,"")</f>
        <v>100</v>
      </c>
      <c r="E3" s="4">
        <f>IFERROR(AVERAGEIF(明细!$B$2:$B$105,$A3,明细!$F$2:$F$105),"")</f>
        <v>94.557692307692307</v>
      </c>
      <c r="F3" s="4">
        <f>IFERROR(AVERAGEIF(明细!$B$2:$B$105,$A3,明细!$G$2:$G$105),"")</f>
        <v>93.873076923076923</v>
      </c>
      <c r="G3" s="6">
        <f>IFERROR(AVERAGEIF(明细!$B$2:$B$105,$A3,明细!$H$2:$H$105),"")</f>
        <v>57.034615384615378</v>
      </c>
      <c r="H3" s="7" t="s">
        <v>47</v>
      </c>
      <c r="I3" s="7" t="s">
        <v>85</v>
      </c>
    </row>
    <row r="4" spans="1:9" ht="34.049999999999997" customHeight="1" x14ac:dyDescent="0.3">
      <c r="A4" s="2" t="s">
        <v>37</v>
      </c>
      <c r="B4" s="4">
        <f>IFERROR(AVERAGEIF(明细!$B$2:$B$105,$A4,明细!$D$2:$D$105),"")</f>
        <v>10.875</v>
      </c>
      <c r="C4" s="4">
        <f>IFERROR(AVERAGEIF(明细!$B$2:$B$105,$A4,明细!$E$2:$E$105),"")</f>
        <v>11.375</v>
      </c>
      <c r="D4" s="4">
        <f>IFERROR(COUNTIFS(明细!$B$2:$B$105,$A4,明细!$C$2:$C$105,"是")/(COUNTIFS(明细!$B$2:$B$105,$A4,明细!$C$2:$C$105,"是")+COUNTIFS(明细!$B$2:$B$105,$A4,明细!$C$2:$C$105,"否")-COUNTIFS(明细!$B$2:$B$105,$A4,明细!$D$2:$D$105,"—"))*100,"")</f>
        <v>100</v>
      </c>
      <c r="E4" s="4">
        <f>IFERROR(AVERAGEIF(明细!$B$2:$B$105,$A4,明细!$F$2:$F$105),"")</f>
        <v>98.145833333333329</v>
      </c>
      <c r="F4" s="4">
        <f>IFERROR(AVERAGEIF(明细!$B$2:$B$105,$A4,明细!$G$2:$G$105),"")</f>
        <v>97.75</v>
      </c>
      <c r="G4" s="6">
        <f>IFERROR(AVERAGEIF(明细!$B$2:$B$105,$A4,明细!$H$2:$H$105),"")</f>
        <v>70.2</v>
      </c>
      <c r="H4" s="7" t="s">
        <v>47</v>
      </c>
      <c r="I4" s="7" t="s">
        <v>85</v>
      </c>
    </row>
    <row r="5" spans="1:9" ht="34.049999999999997" customHeight="1" x14ac:dyDescent="0.3">
      <c r="A5" s="2" t="s">
        <v>38</v>
      </c>
      <c r="B5" s="4">
        <f>IFERROR(AVERAGEIF(明细!$B$2:$B$105,$A5,明细!$D$2:$D$105),"")</f>
        <v>10.807692307692308</v>
      </c>
      <c r="C5" s="4">
        <f>IFERROR(AVERAGEIF(明细!$B$2:$B$105,$A5,明细!$E$2:$E$105),"")</f>
        <v>11.384615384615385</v>
      </c>
      <c r="D5" s="4">
        <f>IFERROR(COUNTIFS(明细!$B$2:$B$105,$A5,明细!$C$2:$C$105,"是")/(COUNTIFS(明细!$B$2:$B$105,$A5,明细!$C$2:$C$105,"是")+COUNTIFS(明细!$B$2:$B$105,$A5,明细!$C$2:$C$105,"否")-COUNTIFS(明细!$B$2:$B$105,$A5,明细!$D$2:$D$105,"—"))*100,"")</f>
        <v>100</v>
      </c>
      <c r="E5" s="4">
        <f>IFERROR(AVERAGEIF(明细!$B$2:$B$105,$A5,明细!$F$2:$F$105),"")</f>
        <v>97.323076923076925</v>
      </c>
      <c r="F5" s="4">
        <f>IFERROR(AVERAGEIF(明细!$B$2:$B$105,$A5,明细!$G$2:$G$105),"")</f>
        <v>97.219230769230762</v>
      </c>
      <c r="G5" s="6">
        <f>IFERROR(AVERAGEIF(明细!$B$2:$B$105,$A5,明细!$H$2:$H$105),"")</f>
        <v>79.603846153846163</v>
      </c>
      <c r="H5" s="7" t="s">
        <v>47</v>
      </c>
      <c r="I5" s="7" t="s">
        <v>85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1" topLeftCell="A2" activePane="bottomLeft" state="frozen"/>
      <selection pane="bottomLeft" activeCell="A18" sqref="A18"/>
    </sheetView>
  </sheetViews>
  <sheetFormatPr defaultRowHeight="13.5" x14ac:dyDescent="0.3"/>
  <cols>
    <col min="1" max="1" width="22" customWidth="1"/>
    <col min="2" max="2" width="85" customWidth="1"/>
  </cols>
  <sheetData>
    <row r="1" spans="1:2" ht="32" customHeight="1" x14ac:dyDescent="0.3">
      <c r="A1" s="1" t="s">
        <v>48</v>
      </c>
      <c r="B1" s="1" t="s">
        <v>49</v>
      </c>
    </row>
    <row r="2" spans="1:2" ht="32" customHeight="1" x14ac:dyDescent="0.3">
      <c r="A2" s="2" t="s">
        <v>50</v>
      </c>
      <c r="B2" s="3" t="s">
        <v>51</v>
      </c>
    </row>
    <row r="3" spans="1:2" ht="32" customHeight="1" x14ac:dyDescent="0.3">
      <c r="A3" s="2" t="s">
        <v>52</v>
      </c>
      <c r="B3" s="3" t="s">
        <v>53</v>
      </c>
    </row>
    <row r="4" spans="1:2" ht="32" customHeight="1" x14ac:dyDescent="0.3">
      <c r="A4" s="2" t="s">
        <v>54</v>
      </c>
      <c r="B4" s="3" t="s">
        <v>55</v>
      </c>
    </row>
    <row r="5" spans="1:2" ht="32" customHeight="1" x14ac:dyDescent="0.3">
      <c r="A5" s="2" t="s">
        <v>56</v>
      </c>
      <c r="B5" s="3" t="s">
        <v>57</v>
      </c>
    </row>
    <row r="6" spans="1:2" ht="32" customHeight="1" x14ac:dyDescent="0.3">
      <c r="A6" s="2" t="s">
        <v>3</v>
      </c>
      <c r="B6" s="3" t="s">
        <v>58</v>
      </c>
    </row>
    <row r="7" spans="1:2" ht="32" customHeight="1" x14ac:dyDescent="0.3">
      <c r="A7" s="2" t="s">
        <v>4</v>
      </c>
      <c r="B7" s="3" t="s">
        <v>59</v>
      </c>
    </row>
    <row r="8" spans="1:2" ht="32" customHeight="1" x14ac:dyDescent="0.3">
      <c r="A8" s="2" t="s">
        <v>60</v>
      </c>
      <c r="B8" s="3" t="s">
        <v>61</v>
      </c>
    </row>
    <row r="9" spans="1:2" ht="32" customHeight="1" x14ac:dyDescent="0.3">
      <c r="A9" s="2" t="s">
        <v>62</v>
      </c>
      <c r="B9" s="3" t="s">
        <v>63</v>
      </c>
    </row>
    <row r="10" spans="1:2" ht="32" customHeight="1" x14ac:dyDescent="0.3">
      <c r="A10" s="2" t="s">
        <v>64</v>
      </c>
      <c r="B10" s="3" t="s">
        <v>65</v>
      </c>
    </row>
    <row r="11" spans="1:2" ht="32" customHeight="1" x14ac:dyDescent="0.3">
      <c r="A11" s="5" t="s">
        <v>66</v>
      </c>
      <c r="B11" s="5" t="s">
        <v>67</v>
      </c>
    </row>
    <row r="12" spans="1:2" x14ac:dyDescent="0.3">
      <c r="A12" t="s">
        <v>68</v>
      </c>
      <c r="B12" t="s">
        <v>69</v>
      </c>
    </row>
    <row r="13" spans="1:2" x14ac:dyDescent="0.3">
      <c r="A13" t="s">
        <v>70</v>
      </c>
      <c r="B13" t="s">
        <v>71</v>
      </c>
    </row>
    <row r="14" spans="1:2" x14ac:dyDescent="0.3">
      <c r="A14" t="s">
        <v>45</v>
      </c>
      <c r="B14" t="s">
        <v>82</v>
      </c>
    </row>
    <row r="15" spans="1:2" x14ac:dyDescent="0.3">
      <c r="A15" t="s">
        <v>72</v>
      </c>
      <c r="B15" t="s">
        <v>73</v>
      </c>
    </row>
    <row r="16" spans="1:2" x14ac:dyDescent="0.3">
      <c r="A16" t="s">
        <v>74</v>
      </c>
      <c r="B16" t="s">
        <v>75</v>
      </c>
    </row>
    <row r="17" spans="1:2" x14ac:dyDescent="0.3">
      <c r="A17" t="s">
        <v>76</v>
      </c>
      <c r="B17" t="s">
        <v>77</v>
      </c>
    </row>
    <row r="18" spans="1:2" x14ac:dyDescent="0.3">
      <c r="A18" t="s">
        <v>78</v>
      </c>
      <c r="B18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</vt:lpstr>
      <vt:lpstr>汇总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2026-10-19T02:33:10Z</dcterms:created>
  <dcterms:modified xsi:type="dcterms:W3CDTF">2026-10-26T17:36:31Z</dcterms:modified>
</cp:coreProperties>
</file>